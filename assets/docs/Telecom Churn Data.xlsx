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activeTab="2"/>
  </bookViews>
  <sheets>
    <sheet name="Raw Data" sheetId="4" r:id="rId1"/>
    <sheet name="cleaned Data" sheetId="5" r:id="rId2"/>
    <sheet name="Pivot table" sheetId="9" r:id="rId3"/>
  </sheets>
  <calcPr calcId="144525"/>
  <pivotCaches>
    <pivotCache cacheId="19" r:id="rId4"/>
  </pivotCaches>
</workbook>
</file>

<file path=xl/calcChain.xml><?xml version="1.0" encoding="utf-8"?>
<calcChain xmlns="http://schemas.openxmlformats.org/spreadsheetml/2006/main">
  <c r="S162" i="5" l="1"/>
  <c r="S169" i="5"/>
  <c r="S175" i="5"/>
  <c r="S193" i="5"/>
  <c r="S205" i="5"/>
  <c r="S206" i="5"/>
  <c r="S213" i="5"/>
  <c r="S214" i="5"/>
  <c r="S228" i="5"/>
  <c r="S232" i="5"/>
  <c r="S234" i="5"/>
  <c r="S241" i="5"/>
  <c r="S253" i="5"/>
  <c r="S255" i="5"/>
  <c r="S282" i="5"/>
  <c r="S284" i="5"/>
  <c r="S305" i="5"/>
  <c r="S311" i="5"/>
  <c r="S323" i="5"/>
  <c r="S138" i="5"/>
  <c r="S129" i="5"/>
  <c r="S127" i="5"/>
  <c r="S123" i="5"/>
  <c r="S115" i="5"/>
  <c r="S105" i="5"/>
  <c r="S100" i="5"/>
  <c r="S97" i="5"/>
  <c r="S96" i="5"/>
  <c r="S89" i="5"/>
  <c r="S78" i="5"/>
  <c r="S72" i="5"/>
  <c r="S56" i="5"/>
  <c r="T51" i="5"/>
  <c r="T37" i="5"/>
  <c r="S27" i="5"/>
  <c r="S24" i="5"/>
  <c r="S11" i="5"/>
  <c r="Y1" i="5" l="1"/>
</calcChain>
</file>

<file path=xl/sharedStrings.xml><?xml version="1.0" encoding="utf-8"?>
<sst xmlns="http://schemas.openxmlformats.org/spreadsheetml/2006/main" count="17346" uniqueCount="88">
  <si>
    <t>male</t>
  </si>
  <si>
    <t>female</t>
  </si>
  <si>
    <t>customer_id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</si>
  <si>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</si>
  <si>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</si>
  <si>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</si>
  <si>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</si>
  <si>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</si>
  <si>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</si>
  <si>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</si>
  <si>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</si>
  <si>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</si>
  <si>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</si>
  <si>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</si>
  <si>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</si>
  <si>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</si>
  <si>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</si>
  <si>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</si>
  <si>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</si>
  <si>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</si>
  <si>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</si>
  <si>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</si>
  <si>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signup_date</t>
  </si>
  <si>
    <t>churn</t>
  </si>
  <si>
    <t>internal_flag</t>
  </si>
  <si>
    <t>No</t>
  </si>
  <si>
    <t>Yes</t>
  </si>
  <si>
    <t>Fiber optic</t>
  </si>
  <si>
    <t>One year</t>
  </si>
  <si>
    <t>Mailed check</t>
  </si>
  <si>
    <t>A</t>
  </si>
  <si>
    <t>Female</t>
  </si>
  <si>
    <t>Month-to-month</t>
  </si>
  <si>
    <t>Credit card</t>
  </si>
  <si>
    <t>Male</t>
  </si>
  <si>
    <t>DSL</t>
  </si>
  <si>
    <t>Y</t>
  </si>
  <si>
    <t>No internet service</t>
  </si>
  <si>
    <t>N</t>
  </si>
  <si>
    <t>Electronic check</t>
  </si>
  <si>
    <t>fiber</t>
  </si>
  <si>
    <t>Month to month</t>
  </si>
  <si>
    <t>One Year</t>
  </si>
  <si>
    <t>e-check</t>
  </si>
  <si>
    <t>E-check</t>
  </si>
  <si>
    <t>Two year</t>
  </si>
  <si>
    <t>F</t>
  </si>
  <si>
    <t>No phone service</t>
  </si>
  <si>
    <t>Two Year</t>
  </si>
  <si>
    <t>Bank transfer</t>
  </si>
  <si>
    <t>B</t>
  </si>
  <si>
    <t>M</t>
  </si>
  <si>
    <t>Dsl</t>
  </si>
  <si>
    <t xml:space="preserve">                                                     </t>
  </si>
  <si>
    <t xml:space="preserve">                                                        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</si>
  <si>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</si>
  <si>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</si>
  <si>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</si>
  <si>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</si>
  <si>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</si>
  <si>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</si>
  <si>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</si>
  <si>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</si>
  <si>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</si>
  <si>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</si>
  <si>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</si>
  <si>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</si>
  <si>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</si>
  <si>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</si>
  <si>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</si>
  <si>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</si>
  <si>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</si>
  <si>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Signup_Date</t>
  </si>
  <si>
    <t>Churn</t>
  </si>
  <si>
    <t>Internal_Flag</t>
  </si>
  <si>
    <t>Customer_ID</t>
  </si>
  <si>
    <t xml:space="preserve">               </t>
  </si>
  <si>
    <t xml:space="preserve">Monthly_Charges </t>
  </si>
  <si>
    <t xml:space="preserve">Total_Charges  </t>
  </si>
  <si>
    <t>Grand Total</t>
  </si>
  <si>
    <t>Count of Churn</t>
  </si>
  <si>
    <t xml:space="preserve">         Churn by contract type</t>
  </si>
  <si>
    <t xml:space="preserve">       Churn by payment method</t>
  </si>
  <si>
    <t>Payment Method</t>
  </si>
  <si>
    <t>Senior citizen</t>
  </si>
  <si>
    <t>Total Revenue</t>
  </si>
  <si>
    <t xml:space="preserve">       Churn by senior citizen</t>
  </si>
  <si>
    <r>
      <t xml:space="preserve">     </t>
    </r>
    <r>
      <rPr>
        <b/>
        <sz val="12"/>
        <color theme="1"/>
        <rFont val="Calibri"/>
        <family val="2"/>
        <scheme val="minor"/>
      </rPr>
      <t xml:space="preserve"> Revenue by contract 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</si>
</sst>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7" formatCode="_(&quot;$&quot;* #,##0.0000_);_(&quot;$&quot;* \(#,##0.0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1" fontId="0" fillId="0" borderId="0" xfId="1" applyNumberFormat="1" applyFont="1"/>
    <xf numFmtId="3" fontId="0" fillId="0" borderId="0" xfId="0" applyNumberFormat="1"/>
    <xf numFmtId="14" fontId="0" fillId="0" borderId="0" xfId="0" applyNumberFormat="1"/>
    <xf numFmtId="0" fontId="2" fillId="2" borderId="0" xfId="0" applyFont="1" applyFill="1"/>
    <xf numFmtId="1" fontId="2" fillId="2" borderId="0" xfId="1" applyNumberFormat="1" applyFont="1" applyFill="1"/>
    <xf numFmtId="3" fontId="2" fillId="2" borderId="0" xfId="0" applyNumberFormat="1" applyFont="1" applyFill="1"/>
    <xf numFmtId="14" fontId="2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9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7" formatCode="_(&quot;$&quot;* #,##0.0000_);_(&quot;$&quot;* \(#,##0.00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7" formatCode="_(&quot;$&quot;* #,##0.0000_);_(&quot;$&quot;* \(#,##0.00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7" formatCode="_(&quot;$&quot;* #,##0.0000_);_(&quot;$&quot;* \(#,##0.00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Churn Data.xlsx]Pivot table!PivotTable4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</a:t>
            </a:r>
            <a:r>
              <a:rPr lang="en-US" baseline="0"/>
              <a:t> By Contract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rgbClr val="FF0000"/>
          </a:solidFill>
        </c:spPr>
      </c:pivotFmt>
      <c:pivotFmt>
        <c:idx val="2"/>
        <c:spPr>
          <a:solidFill>
            <a:srgbClr val="00B05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table'!$A$5:$A$8</c:f>
              <c:strCache>
                <c:ptCount val="3"/>
                <c:pt idx="0">
                  <c:v>Month to 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table'!$B$5:$B$8</c:f>
              <c:numCache>
                <c:formatCode>General</c:formatCode>
                <c:ptCount val="3"/>
                <c:pt idx="0">
                  <c:v>86</c:v>
                </c:pt>
                <c:pt idx="1">
                  <c:v>34</c:v>
                </c:pt>
                <c:pt idx="2">
                  <c:v>23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9713152"/>
        <c:axId val="189038976"/>
      </c:barChart>
      <c:catAx>
        <c:axId val="159713152"/>
        <c:scaling>
          <c:orientation val="minMax"/>
        </c:scaling>
        <c:delete val="0"/>
        <c:axPos val="l"/>
        <c:majorTickMark val="out"/>
        <c:minorTickMark val="none"/>
        <c:tickLblPos val="nextTo"/>
        <c:crossAx val="189038976"/>
        <c:crosses val="autoZero"/>
        <c:auto val="1"/>
        <c:lblAlgn val="ctr"/>
        <c:lblOffset val="100"/>
        <c:noMultiLvlLbl val="0"/>
      </c:catAx>
      <c:valAx>
        <c:axId val="189038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59713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Churn Data.xlsx]Pivot table!PivotTable5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</a:t>
            </a:r>
            <a:r>
              <a:rPr lang="en-US" baseline="0"/>
              <a:t>  By Payment Method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rgbClr val="FF0000"/>
          </a:solidFill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table'!$B$15:$B$16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table'!$A$17:$A$21</c:f>
              <c:strCache>
                <c:ptCount val="4"/>
                <c:pt idx="0">
                  <c:v>Credit card</c:v>
                </c:pt>
                <c:pt idx="1">
                  <c:v>Bank transfer</c:v>
                </c:pt>
                <c:pt idx="2">
                  <c:v>Mailed check</c:v>
                </c:pt>
                <c:pt idx="3">
                  <c:v>Electronic check</c:v>
                </c:pt>
              </c:strCache>
            </c:strRef>
          </c:cat>
          <c:val>
            <c:numRef>
              <c:f>'Pivot table'!$B$17:$B$21</c:f>
              <c:numCache>
                <c:formatCode>General</c:formatCode>
                <c:ptCount val="4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66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63247744"/>
        <c:axId val="256905600"/>
      </c:barChart>
      <c:catAx>
        <c:axId val="263247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56905600"/>
        <c:crosses val="autoZero"/>
        <c:auto val="1"/>
        <c:lblAlgn val="ctr"/>
        <c:lblOffset val="100"/>
        <c:noMultiLvlLbl val="0"/>
      </c:catAx>
      <c:valAx>
        <c:axId val="25690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3247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Churn Data.xlsx]Pivot table!PivotTable6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</a:t>
            </a:r>
            <a:r>
              <a:rPr lang="en-US" baseline="0"/>
              <a:t> By Senior Citizen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rgbClr val="FF0000"/>
          </a:solidFill>
        </c:spPr>
      </c:pivotFmt>
      <c:pivotFmt>
        <c:idx val="2"/>
        <c:spPr>
          <a:solidFill>
            <a:schemeClr val="tx2">
              <a:lumMod val="40000"/>
              <a:lumOff val="60000"/>
            </a:schemeClr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</c:dPt>
          <c:dPt>
            <c:idx val="1"/>
            <c:bubble3D val="0"/>
            <c:spPr>
              <a:solidFill>
                <a:srgbClr val="FF0000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table'!$A$32:$A$34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table'!$B$32:$B$34</c:f>
              <c:numCache>
                <c:formatCode>General</c:formatCode>
                <c:ptCount val="2"/>
                <c:pt idx="0">
                  <c:v>123</c:v>
                </c:pt>
                <c:pt idx="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193674</xdr:colOff>
      <xdr:row>1</xdr:row>
      <xdr:rowOff>165100</xdr:rowOff>
    </xdr:from>
    <xdr:to>
      <xdr:col>10</xdr:col>
      <xdr:colOff>577850</xdr:colOff>
      <xdr:row>10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139701</xdr:colOff>
      <xdr:row>12</xdr:row>
      <xdr:rowOff>69849</xdr:rowOff>
    </xdr:from>
    <xdr:to>
      <xdr:col>11</xdr:col>
      <xdr:colOff>476251</xdr:colOff>
      <xdr:row>23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161924</xdr:colOff>
      <xdr:row>26</xdr:row>
      <xdr:rowOff>25400</xdr:rowOff>
    </xdr:from>
    <xdr:to>
      <xdr:col>11</xdr:col>
      <xdr:colOff>0</xdr:colOff>
      <xdr:row>38</xdr:row>
      <xdr:rowOff>82550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89.308827546294" createdVersion="4" refreshedVersion="4" minRefreshableVersion="3" recordCount="485">
  <cacheSource type="worksheet">
    <worksheetSource ref="A1:W1048576" sheet="cleaned Data"/>
  </cacheSource>
  <cacheFields count="23">
    <cacheField name="Customer_ID" numFmtId="0">
      <sharedItems containsString="0" containsBlank="1" containsNumber="1" containsInteger="1" minValue="1000" maxValue="1485"/>
    </cacheField>
    <cacheField name="Gender" numFmtId="0">
      <sharedItems containsBlank="1"/>
    </cacheField>
    <cacheField name="Senior_Citizen" numFmtId="0">
      <sharedItems containsBlank="1" count="3">
        <s v="No"/>
        <s v="Yes"/>
        <m/>
      </sharedItems>
    </cacheField>
    <cacheField name="Partner" numFmtId="0">
      <sharedItems containsBlank="1"/>
    </cacheField>
    <cacheField name="Dependents" numFmtId="0">
      <sharedItems containsBlank="1"/>
    </cacheField>
    <cacheField name="Phone_Service" numFmtId="0">
      <sharedItems containsBlank="1"/>
    </cacheField>
    <cacheField name="Multiple_Lines" numFmtId="0">
      <sharedItems containsBlank="1"/>
    </cacheField>
    <cacheField name="Internet_Service" numFmtId="0">
      <sharedItems containsBlank="1"/>
    </cacheField>
    <cacheField name="Online_Security" numFmtId="0">
      <sharedItems containsBlank="1"/>
    </cacheField>
    <cacheField name="Online_Backup" numFmtId="0">
      <sharedItems containsBlank="1"/>
    </cacheField>
    <cacheField name="Device_Protection" numFmtId="0">
      <sharedItems containsBlank="1"/>
    </cacheField>
    <cacheField name="Tech_Support" numFmtId="0">
      <sharedItems containsBlank="1"/>
    </cacheField>
    <cacheField name="Streaming_Tv" numFmtId="0">
      <sharedItems containsBlank="1"/>
    </cacheField>
    <cacheField name="Streaming_Movies" numFmtId="0">
      <sharedItems containsBlank="1"/>
    </cacheField>
    <cacheField name="Contract" numFmtId="0">
      <sharedItems containsBlank="1" count="4">
        <s v="One year"/>
        <s v="Month to month"/>
        <s v="Two year"/>
        <m/>
      </sharedItems>
    </cacheField>
    <cacheField name="Paperless_Billing" numFmtId="0">
      <sharedItems containsBlank="1"/>
    </cacheField>
    <cacheField name="Tenure" numFmtId="0">
      <sharedItems containsString="0" containsBlank="1" containsNumber="1" containsInteger="1" minValue="0" maxValue="145"/>
    </cacheField>
    <cacheField name="Payment_Method" numFmtId="0">
      <sharedItems containsBlank="1" count="5">
        <s v="Mailed check"/>
        <s v="Credit card"/>
        <s v="Electronic check"/>
        <s v="Bank transfer"/>
        <m/>
      </sharedItems>
    </cacheField>
    <cacheField name="Monthly_Charges " numFmtId="1">
      <sharedItems containsString="0" containsBlank="1" containsNumber="1" minValue="0" maxValue="975.82500000000005"/>
    </cacheField>
    <cacheField name="Total_Charges  " numFmtId="3">
      <sharedItems containsString="0" containsBlank="1" containsNumber="1" minValue="0" maxValue="7985.91"/>
    </cacheField>
    <cacheField name="Signup_Date" numFmtId="14">
      <sharedItems containsNonDate="0" containsDate="1" containsString="0" containsBlank="1" minDate="2020-01-16T00:00:00" maxDate="2024-12-15T00:00:00"/>
    </cacheField>
    <cacheField name="Churn" numFmtId="0">
      <sharedItems containsBlank="1" count="3">
        <s v="No"/>
        <s v="Yes"/>
        <m/>
      </sharedItems>
    </cacheField>
    <cacheField name="Internal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5">
  <r>
    <n v="1000"/>
    <s v="Female"/>
    <x v="0"/>
    <s v="No"/>
    <s v="Yes"/>
    <s v="Yes"/>
    <s v="Yes"/>
    <s v="Fiber optic"/>
    <s v="Yes"/>
    <s v="Yes"/>
    <s v="Yes"/>
    <s v="No"/>
    <s v="No"/>
    <s v="No"/>
    <x v="0"/>
    <s v="Yes"/>
    <n v="41"/>
    <x v="0"/>
    <n v="53.77"/>
    <n v="848"/>
    <d v="2024-08-02T00:00:00"/>
    <x v="0"/>
    <s v="A"/>
  </r>
  <r>
    <n v="1001"/>
    <s v="Female"/>
    <x v="0"/>
    <s v="Yes"/>
    <s v="No"/>
    <s v="Yes"/>
    <s v="Yes"/>
    <s v="Fiber optic"/>
    <s v="Yes"/>
    <s v="Yes"/>
    <s v="Yes"/>
    <s v="Yes"/>
    <s v="No"/>
    <s v="No"/>
    <x v="1"/>
    <s v="Yes"/>
    <n v="27"/>
    <x v="1"/>
    <n v="84.76"/>
    <n v="6916"/>
    <d v="2022-07-15T00:00:00"/>
    <x v="0"/>
    <s v="A"/>
  </r>
  <r>
    <n v="1003"/>
    <s v="Male"/>
    <x v="1"/>
    <s v="Yes"/>
    <s v="Yes"/>
    <s v="Yes"/>
    <s v="Yes"/>
    <s v="DSL"/>
    <s v="No"/>
    <s v="Yes"/>
    <s v="No"/>
    <s v="No"/>
    <s v="No"/>
    <s v="Yes"/>
    <x v="1"/>
    <s v="Yes"/>
    <n v="36"/>
    <x v="0"/>
    <n v="28.61"/>
    <n v="1099.8499999999999"/>
    <d v="2024-07-17T00:00:00"/>
    <x v="0"/>
    <s v="A"/>
  </r>
  <r>
    <n v="1004"/>
    <s v="Female"/>
    <x v="0"/>
    <s v="No"/>
    <s v="No"/>
    <s v="No"/>
    <s v="No"/>
    <s v="No"/>
    <s v="No"/>
    <s v="No"/>
    <s v="No"/>
    <s v="No"/>
    <s v="Yes"/>
    <s v="Yes"/>
    <x v="1"/>
    <s v="No"/>
    <n v="1"/>
    <x v="2"/>
    <n v="119.07"/>
    <n v="6943.98"/>
    <d v="2024-06-04T00:00:00"/>
    <x v="0"/>
    <s v="A"/>
  </r>
  <r>
    <n v="1005"/>
    <s v="Male"/>
    <x v="0"/>
    <s v="No"/>
    <s v="Yes"/>
    <s v="Yes"/>
    <s v="Yes"/>
    <s v="Fiber optic"/>
    <s v="No"/>
    <s v="Yes"/>
    <s v="No"/>
    <s v="No"/>
    <s v="No"/>
    <s v="Yes"/>
    <x v="1"/>
    <s v="No"/>
    <n v="20"/>
    <x v="2"/>
    <n v="108.74"/>
    <n v="5279.77"/>
    <d v="2023-04-30T00:00:00"/>
    <x v="0"/>
    <s v="A"/>
  </r>
  <r>
    <n v="1006"/>
    <s v="Female"/>
    <x v="1"/>
    <s v="No"/>
    <s v="No"/>
    <s v="Yes"/>
    <s v="No"/>
    <s v="Fiber optic"/>
    <s v="Yes"/>
    <s v="Yes"/>
    <s v="Yes"/>
    <s v="Yes"/>
    <s v="No"/>
    <s v="No"/>
    <x v="1"/>
    <s v="Yes"/>
    <n v="42"/>
    <x v="1"/>
    <n v="55.79"/>
    <n v="605.88"/>
    <d v="2022-03-02T00:00:00"/>
    <x v="0"/>
    <s v="A"/>
  </r>
  <r>
    <n v="1007"/>
    <s v="Female"/>
    <x v="1"/>
    <s v="No"/>
    <s v="Yes"/>
    <s v="No"/>
    <s v="Yes"/>
    <s v="Fiber optic"/>
    <s v="No"/>
    <s v="No"/>
    <s v="No"/>
    <s v="Yes"/>
    <s v="Yes"/>
    <s v="No"/>
    <x v="0"/>
    <s v="Yes"/>
    <n v="20"/>
    <x v="2"/>
    <n v="110.69"/>
    <n v="2376.13"/>
    <d v="2024-11-22T00:00:00"/>
    <x v="0"/>
    <s v="A"/>
  </r>
  <r>
    <n v="1008"/>
    <s v="Female"/>
    <x v="1"/>
    <s v="No"/>
    <s v="No"/>
    <s v="Yes"/>
    <s v="No"/>
    <s v="Fiber optic"/>
    <s v="Yes"/>
    <s v="No"/>
    <s v="Yes"/>
    <s v="No"/>
    <s v="No"/>
    <s v="Yes"/>
    <x v="0"/>
    <s v="Yes"/>
    <n v="34"/>
    <x v="2"/>
    <n v="77.83"/>
    <n v="1405.22"/>
    <d v="2021-01-01T00:00:00"/>
    <x v="0"/>
    <s v="A"/>
  </r>
  <r>
    <n v="1009"/>
    <s v="Female"/>
    <x v="0"/>
    <s v="Yes"/>
    <s v="No"/>
    <s v="Yes"/>
    <s v="No"/>
    <s v="Fiber optic"/>
    <s v="No"/>
    <s v="Yes"/>
    <s v="No"/>
    <s v="No"/>
    <s v="No"/>
    <s v="Yes"/>
    <x v="2"/>
    <s v="Yes"/>
    <n v="61"/>
    <x v="1"/>
    <n v="93.42"/>
    <n v="6018.92"/>
    <d v="2023-06-02T00:00:00"/>
    <x v="0"/>
    <s v="A"/>
  </r>
  <r>
    <n v="1010"/>
    <s v="Male"/>
    <x v="1"/>
    <s v="No"/>
    <s v="Yes"/>
    <s v="Yes"/>
    <s v="Yes"/>
    <s v="Fiber optic"/>
    <s v="Yes"/>
    <s v="No"/>
    <s v="No"/>
    <s v="Yes"/>
    <s v="Yes"/>
    <s v="Yes"/>
    <x v="0"/>
    <s v="No"/>
    <n v="71"/>
    <x v="2"/>
    <n v="89.25352112676056"/>
    <n v="6337"/>
    <d v="2023-06-29T00:00:00"/>
    <x v="0"/>
    <s v="A"/>
  </r>
  <r>
    <n v="1011"/>
    <s v="Female"/>
    <x v="0"/>
    <s v="Yes"/>
    <s v="Yes"/>
    <s v="Yes"/>
    <s v="No"/>
    <s v="Fiber optic"/>
    <s v="No"/>
    <s v="No"/>
    <s v="No"/>
    <s v="No"/>
    <s v="No"/>
    <s v="No"/>
    <x v="1"/>
    <s v="Yes"/>
    <n v="66"/>
    <x v="0"/>
    <n v="42.72"/>
    <n v="6466.08"/>
    <d v="2024-11-06T00:00:00"/>
    <x v="0"/>
    <s v="A"/>
  </r>
  <r>
    <n v="1012"/>
    <s v="Female"/>
    <x v="0"/>
    <s v="No"/>
    <s v="No"/>
    <s v="Yes"/>
    <s v="Yes"/>
    <s v="Fiber optic"/>
    <s v="No"/>
    <s v="No"/>
    <s v="No"/>
    <s v="Yes"/>
    <s v="Yes"/>
    <s v="No"/>
    <x v="0"/>
    <s v="Yes"/>
    <n v="17"/>
    <x v="1"/>
    <n v="77.709999999999994"/>
    <n v="6959.68"/>
    <d v="2020-06-14T00:00:00"/>
    <x v="0"/>
    <s v="A"/>
  </r>
  <r>
    <n v="1013"/>
    <s v="Male"/>
    <x v="1"/>
    <s v="No"/>
    <s v="No"/>
    <s v="Yes"/>
    <s v="No"/>
    <s v="No"/>
    <s v="No"/>
    <s v="No"/>
    <s v="No"/>
    <s v="No"/>
    <s v="No"/>
    <s v="No"/>
    <x v="0"/>
    <s v="No"/>
    <n v="6"/>
    <x v="0"/>
    <n v="35.28"/>
    <n v="659.67"/>
    <d v="2023-05-08T00:00:00"/>
    <x v="1"/>
    <s v="A"/>
  </r>
  <r>
    <n v="1014"/>
    <s v="Male"/>
    <x v="0"/>
    <s v="Yes"/>
    <s v="No"/>
    <s v="Yes"/>
    <s v="No"/>
    <s v="DSL"/>
    <s v="No"/>
    <s v="Yes"/>
    <s v="Yes"/>
    <s v="No"/>
    <s v="Yes"/>
    <s v="Yes"/>
    <x v="2"/>
    <s v="No"/>
    <n v="65"/>
    <x v="2"/>
    <n v="92.86"/>
    <n v="2951.16"/>
    <d v="2020-05-02T00:00:00"/>
    <x v="0"/>
    <s v="A"/>
  </r>
  <r>
    <n v="1015"/>
    <s v="Female"/>
    <x v="0"/>
    <s v="Yes"/>
    <s v="Yes"/>
    <s v="No"/>
    <s v="No"/>
    <s v="DSL"/>
    <s v="No"/>
    <s v="No"/>
    <s v="Yes"/>
    <s v="No"/>
    <s v="No"/>
    <s v="No"/>
    <x v="2"/>
    <s v="Yes"/>
    <n v="59"/>
    <x v="2"/>
    <n v="72.650000000000006"/>
    <n v="2443.94"/>
    <d v="2023-02-07T00:00:00"/>
    <x v="0"/>
    <s v="A"/>
  </r>
  <r>
    <n v="1016"/>
    <s v="Male"/>
    <x v="0"/>
    <s v="No"/>
    <s v="No"/>
    <s v="Yes"/>
    <s v="No"/>
    <s v="Fiber optic"/>
    <s v="Yes"/>
    <s v="No"/>
    <s v="Yes"/>
    <s v="No"/>
    <s v="Yes"/>
    <s v="No"/>
    <x v="0"/>
    <s v="No"/>
    <n v="55"/>
    <x v="3"/>
    <n v="84.7"/>
    <n v="4653.91"/>
    <d v="2023-03-17T00:00:00"/>
    <x v="0"/>
    <s v="A"/>
  </r>
  <r>
    <n v="1017"/>
    <s v="Male"/>
    <x v="0"/>
    <s v="Yes"/>
    <s v="No"/>
    <s v="Yes"/>
    <s v="No"/>
    <s v="Fiber optic"/>
    <s v="Yes"/>
    <s v="No"/>
    <s v="Yes"/>
    <s v="No"/>
    <s v="Yes"/>
    <s v="Yes"/>
    <x v="1"/>
    <s v="No"/>
    <n v="33"/>
    <x v="2"/>
    <n v="60.27"/>
    <n v="6165.34"/>
    <d v="2022-12-24T00:00:00"/>
    <x v="0"/>
    <s v="A"/>
  </r>
  <r>
    <n v="1018"/>
    <s v="Male"/>
    <x v="0"/>
    <s v="Yes"/>
    <s v="Yes"/>
    <s v="Yes"/>
    <s v="No"/>
    <s v="No"/>
    <s v="Yes"/>
    <s v="No"/>
    <s v="Yes"/>
    <s v="No"/>
    <s v="No"/>
    <s v="No"/>
    <x v="1"/>
    <s v="No"/>
    <n v="8"/>
    <x v="2"/>
    <n v="110.59"/>
    <n v="7286.05"/>
    <d v="2024-03-02T00:00:00"/>
    <x v="1"/>
    <s v="A"/>
  </r>
  <r>
    <n v="1019"/>
    <s v="Female"/>
    <x v="0"/>
    <s v="Yes"/>
    <s v="No"/>
    <s v="Yes"/>
    <s v="No"/>
    <s v="DSL"/>
    <s v="Yes"/>
    <s v="No"/>
    <s v="Yes"/>
    <s v="No"/>
    <s v="No"/>
    <s v="No"/>
    <x v="0"/>
    <s v="No"/>
    <n v="43"/>
    <x v="2"/>
    <n v="87.22"/>
    <n v="5466.61"/>
    <d v="2021-09-17T00:00:00"/>
    <x v="1"/>
    <s v="A"/>
  </r>
  <r>
    <n v="1020"/>
    <s v="Female"/>
    <x v="0"/>
    <s v="Yes"/>
    <s v="Yes"/>
    <s v="Yes"/>
    <s v="No"/>
    <s v="Fiber optic"/>
    <s v="No"/>
    <s v="Yes"/>
    <s v="No"/>
    <s v="Yes"/>
    <s v="No"/>
    <s v="Yes"/>
    <x v="2"/>
    <s v="No"/>
    <n v="69"/>
    <x v="3"/>
    <n v="66.680000000000007"/>
    <n v="6010.68"/>
    <d v="2022-08-22T00:00:00"/>
    <x v="0"/>
    <s v="A"/>
  </r>
  <r>
    <n v="1021"/>
    <s v="Male"/>
    <x v="0"/>
    <s v="Yes"/>
    <s v="No"/>
    <s v="Yes"/>
    <s v="No"/>
    <s v="DSL"/>
    <s v="No"/>
    <s v="No"/>
    <s v="Yes"/>
    <s v="No"/>
    <s v="Yes"/>
    <s v="No"/>
    <x v="1"/>
    <s v="Yes"/>
    <n v="70"/>
    <x v="3"/>
    <n v="66.42"/>
    <n v="644"/>
    <d v="2023-07-21T00:00:00"/>
    <x v="0"/>
    <s v="A"/>
  </r>
  <r>
    <n v="1022"/>
    <s v="Male"/>
    <x v="0"/>
    <s v="Yes"/>
    <s v="Yes"/>
    <s v="Yes"/>
    <s v="Yes"/>
    <s v="DSL"/>
    <s v="No"/>
    <s v="No"/>
    <s v="No"/>
    <s v="No"/>
    <s v="Yes"/>
    <s v="No"/>
    <x v="1"/>
    <s v="Yes"/>
    <n v="61"/>
    <x v="1"/>
    <n v="46.63"/>
    <n v="4336.16"/>
    <d v="2024-05-07T00:00:00"/>
    <x v="1"/>
    <s v="A"/>
  </r>
  <r>
    <n v="1023"/>
    <s v="Female"/>
    <x v="0"/>
    <s v="Yes"/>
    <s v="Yes"/>
    <s v="Yes"/>
    <s v="No"/>
    <s v="No"/>
    <s v="No"/>
    <s v="No"/>
    <s v="No"/>
    <s v="No"/>
    <s v="Yes"/>
    <s v="Yes"/>
    <x v="1"/>
    <s v="No"/>
    <n v="45"/>
    <x v="1"/>
    <n v="60.305999999999997"/>
    <n v="2713.77"/>
    <d v="2024-10-22T00:00:00"/>
    <x v="0"/>
    <s v="A"/>
  </r>
  <r>
    <n v="1024"/>
    <s v="Male"/>
    <x v="0"/>
    <s v="No"/>
    <s v="No"/>
    <s v="Yes"/>
    <s v="No"/>
    <s v="No"/>
    <s v="Yes"/>
    <s v="Yes"/>
    <s v="No"/>
    <s v="No"/>
    <s v="Yes"/>
    <s v="Yes"/>
    <x v="1"/>
    <s v="Yes"/>
    <n v="52"/>
    <x v="3"/>
    <n v="57.79"/>
    <n v="3434.33"/>
    <d v="2023-08-10T00:00:00"/>
    <x v="0"/>
    <s v="B"/>
  </r>
  <r>
    <n v="1025"/>
    <s v="Male"/>
    <x v="0"/>
    <s v="No"/>
    <s v="No"/>
    <s v="No"/>
    <s v="No"/>
    <s v="DSL"/>
    <s v="No"/>
    <s v="No"/>
    <s v="Yes"/>
    <s v="No"/>
    <s v="Yes"/>
    <s v="Yes"/>
    <x v="0"/>
    <s v="No"/>
    <n v="40"/>
    <x v="2"/>
    <n v="21.13"/>
    <n v="6920.12"/>
    <d v="2021-07-23T00:00:00"/>
    <x v="0"/>
    <s v="A"/>
  </r>
  <r>
    <n v="1026"/>
    <s v="Female"/>
    <x v="0"/>
    <s v="Yes"/>
    <s v="No"/>
    <s v="Yes"/>
    <s v="No"/>
    <s v="No"/>
    <s v="No"/>
    <s v="Yes"/>
    <s v="No"/>
    <s v="No"/>
    <s v="No"/>
    <s v="Yes"/>
    <x v="0"/>
    <s v="No"/>
    <n v="26"/>
    <x v="2"/>
    <n v="211.74076923076925"/>
    <n v="5505.26"/>
    <d v="2020-06-03T00:00:00"/>
    <x v="0"/>
    <s v="A"/>
  </r>
  <r>
    <n v="1027"/>
    <s v="Male"/>
    <x v="0"/>
    <s v="No"/>
    <s v="Yes"/>
    <s v="No"/>
    <s v="Yes"/>
    <s v="Fiber optic"/>
    <s v="No"/>
    <s v="No"/>
    <s v="No"/>
    <s v="No"/>
    <s v="No"/>
    <s v="Yes"/>
    <x v="2"/>
    <s v="No"/>
    <n v="22"/>
    <x v="2"/>
    <n v="115.47"/>
    <n v="7173.88"/>
    <d v="2023-06-14T00:00:00"/>
    <x v="0"/>
    <s v="A"/>
  </r>
  <r>
    <n v="1028"/>
    <s v="Male"/>
    <x v="0"/>
    <s v="Yes"/>
    <s v="Yes"/>
    <s v="Yes"/>
    <s v="No"/>
    <s v="DSL"/>
    <s v="No"/>
    <s v="No"/>
    <s v="No"/>
    <s v="Yes"/>
    <s v="No"/>
    <s v="No"/>
    <x v="0"/>
    <s v="Yes"/>
    <n v="7"/>
    <x v="0"/>
    <n v="61.19"/>
    <n v="3875.36"/>
    <d v="2024-03-22T00:00:00"/>
    <x v="0"/>
    <s v="A"/>
  </r>
  <r>
    <n v="1029"/>
    <s v="Male"/>
    <x v="0"/>
    <s v="No"/>
    <s v="No"/>
    <s v="Yes"/>
    <s v="No"/>
    <s v="DSL"/>
    <s v="Yes"/>
    <s v="No"/>
    <s v="No"/>
    <s v="Yes"/>
    <s v="No"/>
    <s v="Yes"/>
    <x v="1"/>
    <s v="No"/>
    <n v="51"/>
    <x v="0"/>
    <n v="106.13"/>
    <n v="5453.2"/>
    <d v="2023-08-13T00:00:00"/>
    <x v="0"/>
    <s v="A"/>
  </r>
  <r>
    <n v="1030"/>
    <s v="Female"/>
    <x v="0"/>
    <s v="No"/>
    <s v="Yes"/>
    <s v="Yes"/>
    <s v="No"/>
    <s v="Fiber optic"/>
    <s v="Yes"/>
    <s v="No"/>
    <s v="No"/>
    <s v="Yes"/>
    <s v="No"/>
    <s v="No"/>
    <x v="1"/>
    <s v="No"/>
    <n v="29"/>
    <x v="3"/>
    <n v="66.989999999999995"/>
    <n v="1252.83"/>
    <d v="2023-12-18T00:00:00"/>
    <x v="0"/>
    <s v="A"/>
  </r>
  <r>
    <n v="1031"/>
    <s v="Female"/>
    <x v="0"/>
    <s v="No"/>
    <s v="No"/>
    <s v="Yes"/>
    <s v="Yes"/>
    <s v="Fiber optic"/>
    <s v="No"/>
    <s v="No"/>
    <s v="Yes"/>
    <s v="No"/>
    <s v="No"/>
    <s v="No"/>
    <x v="1"/>
    <s v="Yes"/>
    <n v="40"/>
    <x v="1"/>
    <n v="68.61"/>
    <n v="552.63"/>
    <d v="2022-07-10T00:00:00"/>
    <x v="0"/>
    <s v="A"/>
  </r>
  <r>
    <n v="1032"/>
    <s v="Female"/>
    <x v="0"/>
    <s v="Yes"/>
    <s v="No"/>
    <s v="Yes"/>
    <s v="Yes"/>
    <s v="DSL"/>
    <s v="Yes"/>
    <s v="No"/>
    <s v="No"/>
    <s v="Yes"/>
    <s v="No"/>
    <s v="Yes"/>
    <x v="2"/>
    <s v="Yes"/>
    <n v="67"/>
    <x v="2"/>
    <n v="41.01"/>
    <n v="1817.01"/>
    <d v="2021-02-19T00:00:00"/>
    <x v="0"/>
    <s v="A"/>
  </r>
  <r>
    <n v="1033"/>
    <s v="Female"/>
    <x v="0"/>
    <s v="No"/>
    <s v="No"/>
    <s v="Yes"/>
    <s v="Yes"/>
    <s v="No"/>
    <s v="No"/>
    <s v="No"/>
    <s v="Yes"/>
    <s v="No"/>
    <s v="No"/>
    <s v="No"/>
    <x v="0"/>
    <s v="Yes"/>
    <n v="17"/>
    <x v="2"/>
    <n v="40.19"/>
    <n v="5921.9"/>
    <d v="2023-10-14T00:00:00"/>
    <x v="0"/>
    <s v="A"/>
  </r>
  <r>
    <n v="1034"/>
    <s v="Female"/>
    <x v="0"/>
    <s v="Yes"/>
    <s v="No"/>
    <s v="Yes"/>
    <s v="Yes"/>
    <s v="No"/>
    <s v="No"/>
    <s v="Yes"/>
    <s v="No"/>
    <s v="No"/>
    <s v="No"/>
    <s v="Yes"/>
    <x v="0"/>
    <s v="No"/>
    <n v="11"/>
    <x v="2"/>
    <n v="21.46"/>
    <n v="360.46"/>
    <d v="2021-03-24T00:00:00"/>
    <x v="0"/>
    <s v="A"/>
  </r>
  <r>
    <n v="1035"/>
    <s v="Male"/>
    <x v="0"/>
    <s v="Yes"/>
    <s v="No"/>
    <s v="No"/>
    <s v="No"/>
    <s v="Fiber optic"/>
    <s v="Yes"/>
    <s v="No"/>
    <s v="No"/>
    <s v="No"/>
    <s v="No"/>
    <s v="No"/>
    <x v="1"/>
    <s v="Yes"/>
    <n v="41"/>
    <x v="1"/>
    <n v="38.79"/>
    <n v="2093.59"/>
    <d v="2021-04-25T00:00:00"/>
    <x v="0"/>
    <s v="A"/>
  </r>
  <r>
    <n v="1036"/>
    <s v="Male"/>
    <x v="0"/>
    <s v="No"/>
    <s v="Yes"/>
    <s v="No"/>
    <s v="No"/>
    <s v="DSL"/>
    <s v="Yes"/>
    <s v="Yes"/>
    <s v="No"/>
    <s v="No"/>
    <s v="No"/>
    <s v="No"/>
    <x v="1"/>
    <s v="No"/>
    <n v="62"/>
    <x v="2"/>
    <n v="61.86"/>
    <n v="3835.32"/>
    <d v="2023-09-10T00:00:00"/>
    <x v="0"/>
    <s v="A"/>
  </r>
  <r>
    <n v="1037"/>
    <s v="Male"/>
    <x v="0"/>
    <s v="No"/>
    <s v="Yes"/>
    <s v="Yes"/>
    <s v="No"/>
    <s v="Fiber optic"/>
    <s v="Yes"/>
    <s v="Yes"/>
    <s v="Yes"/>
    <s v="No"/>
    <s v="Yes"/>
    <s v="Yes"/>
    <x v="0"/>
    <s v="Yes"/>
    <n v="46"/>
    <x v="2"/>
    <n v="96.94"/>
    <n v="2840.14"/>
    <d v="2021-12-28T00:00:00"/>
    <x v="0"/>
    <s v="A"/>
  </r>
  <r>
    <n v="1038"/>
    <s v="Male"/>
    <x v="0"/>
    <s v="Yes"/>
    <s v="No"/>
    <s v="Yes"/>
    <s v="No"/>
    <s v="Fiber optic"/>
    <s v="No"/>
    <s v="No"/>
    <s v="No"/>
    <s v="No"/>
    <s v="No"/>
    <s v="Yes"/>
    <x v="2"/>
    <s v="Yes"/>
    <n v="9"/>
    <x v="1"/>
    <n v="92.52"/>
    <n v="6679.95"/>
    <d v="2021-04-17T00:00:00"/>
    <x v="0"/>
    <s v="A"/>
  </r>
  <r>
    <n v="1039"/>
    <s v="Male"/>
    <x v="1"/>
    <s v="No"/>
    <s v="No"/>
    <s v="Yes"/>
    <s v="No"/>
    <s v="DSL"/>
    <s v="Yes"/>
    <s v="No"/>
    <s v="Yes"/>
    <s v="No"/>
    <s v="No"/>
    <s v="No"/>
    <x v="2"/>
    <s v="Yes"/>
    <n v="5"/>
    <x v="3"/>
    <n v="20.66"/>
    <n v="1060.08"/>
    <d v="2020-03-16T00:00:00"/>
    <x v="0"/>
    <s v="A"/>
  </r>
  <r>
    <n v="1040"/>
    <s v="Male"/>
    <x v="0"/>
    <s v="No"/>
    <s v="No"/>
    <s v="Yes"/>
    <s v="No"/>
    <s v="Fiber optic"/>
    <s v="No"/>
    <s v="No"/>
    <s v="No"/>
    <s v="Yes"/>
    <s v="Yes"/>
    <s v="Yes"/>
    <x v="0"/>
    <s v="No"/>
    <n v="29"/>
    <x v="1"/>
    <n v="39.6"/>
    <n v="585"/>
    <d v="2022-02-22T00:00:00"/>
    <x v="0"/>
    <s v="B"/>
  </r>
  <r>
    <n v="1041"/>
    <s v="Female"/>
    <x v="0"/>
    <s v="Yes"/>
    <s v="Yes"/>
    <s v="Yes"/>
    <s v="Yes"/>
    <s v="No"/>
    <s v="No"/>
    <s v="No"/>
    <s v="No"/>
    <s v="No"/>
    <s v="No"/>
    <s v="No"/>
    <x v="1"/>
    <s v="Yes"/>
    <n v="53"/>
    <x v="0"/>
    <n v="25.71"/>
    <n v="7052.53"/>
    <d v="2024-05-23T00:00:00"/>
    <x v="0"/>
    <s v="A"/>
  </r>
  <r>
    <n v="1042"/>
    <s v="Female"/>
    <x v="0"/>
    <s v="No"/>
    <s v="No"/>
    <s v="Yes"/>
    <s v="Yes"/>
    <s v="Fiber optic"/>
    <s v="No"/>
    <s v="No"/>
    <s v="No"/>
    <s v="Yes"/>
    <s v="No"/>
    <s v="Yes"/>
    <x v="1"/>
    <s v="No"/>
    <n v="29"/>
    <x v="2"/>
    <n v="73.319999999999993"/>
    <n v="5559.58"/>
    <d v="2021-06-18T00:00:00"/>
    <x v="0"/>
    <s v="A"/>
  </r>
  <r>
    <n v="1043"/>
    <s v="Male"/>
    <x v="0"/>
    <s v="Yes"/>
    <s v="Yes"/>
    <s v="No"/>
    <s v="Yes"/>
    <s v="DSL"/>
    <s v="No"/>
    <s v="No"/>
    <s v="No"/>
    <s v="No"/>
    <s v="No"/>
    <s v="No"/>
    <x v="1"/>
    <s v="No"/>
    <n v="56"/>
    <x v="1"/>
    <n v="76.709999999999994"/>
    <n v="7882.75"/>
    <d v="2023-12-28T00:00:00"/>
    <x v="0"/>
    <s v="A"/>
  </r>
  <r>
    <n v="1044"/>
    <s v="Male"/>
    <x v="1"/>
    <s v="No"/>
    <s v="No"/>
    <s v="Yes"/>
    <s v="Yes"/>
    <s v="DSL"/>
    <s v="No"/>
    <s v="Yes"/>
    <s v="No"/>
    <s v="Yes"/>
    <s v="No"/>
    <s v="No"/>
    <x v="2"/>
    <s v="Yes"/>
    <n v="5"/>
    <x v="2"/>
    <n v="80.180000000000007"/>
    <n v="2801.27"/>
    <d v="2023-02-23T00:00:00"/>
    <x v="1"/>
    <s v="A"/>
  </r>
  <r>
    <n v="1045"/>
    <s v="Male"/>
    <x v="0"/>
    <s v="Yes"/>
    <s v="Yes"/>
    <s v="Yes"/>
    <s v="Yes"/>
    <s v="Fiber optic"/>
    <s v="Yes"/>
    <s v="Yes"/>
    <s v="No"/>
    <s v="No"/>
    <s v="Yes"/>
    <s v="No"/>
    <x v="1"/>
    <s v="Yes"/>
    <n v="12"/>
    <x v="3"/>
    <n v="91.28"/>
    <n v="829.16"/>
    <d v="2021-05-25T00:00:00"/>
    <x v="0"/>
    <s v="A"/>
  </r>
  <r>
    <n v="1046"/>
    <s v="Male"/>
    <x v="0"/>
    <s v="No"/>
    <s v="Yes"/>
    <s v="Yes"/>
    <s v="Yes"/>
    <s v="Fiber optic"/>
    <s v="No"/>
    <s v="No"/>
    <s v="No"/>
    <s v="No"/>
    <s v="No"/>
    <s v="Yes"/>
    <x v="1"/>
    <s v="No"/>
    <n v="23"/>
    <x v="2"/>
    <n v="43.66"/>
    <n v="7801.95"/>
    <d v="2023-02-25T00:00:00"/>
    <x v="0"/>
    <s v="A"/>
  </r>
  <r>
    <n v="1047"/>
    <s v="Male"/>
    <x v="0"/>
    <s v="No"/>
    <s v="No"/>
    <s v="Yes"/>
    <s v="Yes"/>
    <s v="Fiber optic"/>
    <s v="No"/>
    <s v="No"/>
    <s v="No"/>
    <s v="No"/>
    <s v="No"/>
    <s v="Yes"/>
    <x v="1"/>
    <s v="No"/>
    <n v="54"/>
    <x v="0"/>
    <n v="87.32"/>
    <n v="5748.82"/>
    <d v="2023-04-27T00:00:00"/>
    <x v="0"/>
    <s v="A"/>
  </r>
  <r>
    <n v="1048"/>
    <s v="Male"/>
    <x v="0"/>
    <s v="No"/>
    <s v="Yes"/>
    <s v="Yes"/>
    <s v="Yes"/>
    <s v="DSL"/>
    <s v="No"/>
    <s v="Yes"/>
    <s v="Yes"/>
    <s v="No"/>
    <s v="Yes"/>
    <s v="Yes"/>
    <x v="1"/>
    <s v="Yes"/>
    <n v="0"/>
    <x v="1"/>
    <n v="0"/>
    <n v="7668.63"/>
    <d v="2022-02-01T00:00:00"/>
    <x v="0"/>
    <s v="A"/>
  </r>
  <r>
    <n v="1049"/>
    <s v="Female"/>
    <x v="0"/>
    <s v="No"/>
    <s v="Yes"/>
    <s v="Yes"/>
    <s v="No"/>
    <s v="No"/>
    <s v="Yes"/>
    <s v="No"/>
    <s v="Yes"/>
    <s v="No"/>
    <s v="No"/>
    <s v="No"/>
    <x v="1"/>
    <s v="Yes"/>
    <n v="60"/>
    <x v="3"/>
    <n v="97.76"/>
    <n v="2959.62"/>
    <d v="2024-03-24T00:00:00"/>
    <x v="0"/>
    <s v="A"/>
  </r>
  <r>
    <n v="1050"/>
    <s v="Female"/>
    <x v="0"/>
    <s v="Yes"/>
    <s v="No"/>
    <s v="No"/>
    <s v="No"/>
    <s v="DSL"/>
    <s v="Yes"/>
    <s v="No"/>
    <s v="No"/>
    <s v="No"/>
    <s v="Yes"/>
    <s v="No"/>
    <x v="0"/>
    <s v="Yes"/>
    <n v="33"/>
    <x v="1"/>
    <n v="85.07"/>
    <n v="2807.31"/>
    <d v="2022-05-23T00:00:00"/>
    <x v="0"/>
    <s v="A"/>
  </r>
  <r>
    <n v="1051"/>
    <s v="Female"/>
    <x v="1"/>
    <s v="No"/>
    <s v="Yes"/>
    <s v="Yes"/>
    <s v="No"/>
    <s v="No"/>
    <s v="No"/>
    <s v="Yes"/>
    <s v="Yes"/>
    <s v="No"/>
    <s v="No"/>
    <s v="No"/>
    <x v="1"/>
    <s v="Yes"/>
    <n v="52"/>
    <x v="0"/>
    <n v="73.400000000000006"/>
    <n v="3341.2"/>
    <d v="2022-04-05T00:00:00"/>
    <x v="0"/>
    <s v="A"/>
  </r>
  <r>
    <n v="1052"/>
    <s v="Female"/>
    <x v="0"/>
    <s v="No"/>
    <s v="Yes"/>
    <s v="Yes"/>
    <s v="No"/>
    <s v="Fiber optic"/>
    <s v="Yes"/>
    <s v="No"/>
    <s v="Yes"/>
    <s v="Yes"/>
    <s v="No"/>
    <s v="Yes"/>
    <x v="1"/>
    <s v="Yes"/>
    <n v="71"/>
    <x v="3"/>
    <n v="22.42"/>
    <n v="7851.33"/>
    <d v="2020-03-25T00:00:00"/>
    <x v="0"/>
    <s v="A"/>
  </r>
  <r>
    <n v="1053"/>
    <s v="Male"/>
    <x v="1"/>
    <s v="No"/>
    <s v="Yes"/>
    <s v="Yes"/>
    <s v="No"/>
    <s v="Fiber optic"/>
    <s v="No"/>
    <s v="No"/>
    <s v="No"/>
    <s v="No"/>
    <s v="No"/>
    <s v="Yes"/>
    <x v="1"/>
    <s v="No"/>
    <n v="40"/>
    <x v="2"/>
    <n v="75.91"/>
    <n v="3156.69"/>
    <d v="2022-07-14T00:00:00"/>
    <x v="0"/>
    <s v="A"/>
  </r>
  <r>
    <n v="1054"/>
    <s v="Female"/>
    <x v="1"/>
    <s v="No"/>
    <s v="Yes"/>
    <s v="No"/>
    <s v="No"/>
    <s v="DSL"/>
    <s v="No"/>
    <s v="No"/>
    <s v="No"/>
    <s v="Yes"/>
    <s v="Yes"/>
    <s v="No"/>
    <x v="0"/>
    <s v="No"/>
    <n v="30"/>
    <x v="2"/>
    <n v="97.8"/>
    <n v="6582.33"/>
    <d v="2021-06-04T00:00:00"/>
    <x v="0"/>
    <s v="A"/>
  </r>
  <r>
    <n v="1055"/>
    <s v="Female"/>
    <x v="0"/>
    <s v="No"/>
    <s v="No"/>
    <s v="Yes"/>
    <s v="No"/>
    <s v="DSL"/>
    <s v="No"/>
    <s v="Yes"/>
    <s v="No"/>
    <s v="No"/>
    <s v="Yes"/>
    <s v="No"/>
    <x v="1"/>
    <s v="Yes"/>
    <n v="12"/>
    <x v="3"/>
    <n v="533.7833333333333"/>
    <n v="6405.4"/>
    <d v="2022-03-14T00:00:00"/>
    <x v="0"/>
    <s v="A"/>
  </r>
  <r>
    <n v="1056"/>
    <s v="Female"/>
    <x v="0"/>
    <s v="No"/>
    <s v="Yes"/>
    <s v="No"/>
    <s v="No"/>
    <s v="DSL"/>
    <s v="Yes"/>
    <s v="No"/>
    <s v="Yes"/>
    <s v="Yes"/>
    <s v="No"/>
    <s v="Yes"/>
    <x v="2"/>
    <s v="Yes"/>
    <n v="60"/>
    <x v="2"/>
    <n v="100.46"/>
    <n v="7242.32"/>
    <d v="2022-07-09T00:00:00"/>
    <x v="0"/>
    <s v="A"/>
  </r>
  <r>
    <n v="1057"/>
    <s v="Female"/>
    <x v="0"/>
    <s v="No"/>
    <s v="No"/>
    <s v="Yes"/>
    <s v="Yes"/>
    <s v="Fiber optic"/>
    <s v="Yes"/>
    <s v="No"/>
    <s v="Yes"/>
    <s v="No"/>
    <s v="No"/>
    <s v="No"/>
    <x v="0"/>
    <s v="Yes"/>
    <n v="22"/>
    <x v="0"/>
    <n v="49.27"/>
    <n v="3155.27"/>
    <d v="2024-02-22T00:00:00"/>
    <x v="0"/>
    <s v="A"/>
  </r>
  <r>
    <n v="1058"/>
    <s v="Female"/>
    <x v="0"/>
    <s v="Yes"/>
    <s v="No"/>
    <s v="Yes"/>
    <s v="No"/>
    <s v="No"/>
    <s v="Yes"/>
    <s v="Yes"/>
    <s v="Yes"/>
    <s v="No"/>
    <s v="No"/>
    <s v="Yes"/>
    <x v="1"/>
    <s v="Yes"/>
    <n v="1"/>
    <x v="0"/>
    <n v="97.65"/>
    <n v="6794.03"/>
    <d v="2021-01-17T00:00:00"/>
    <x v="1"/>
    <s v="B"/>
  </r>
  <r>
    <n v="1059"/>
    <s v="Female"/>
    <x v="1"/>
    <s v="No"/>
    <s v="No"/>
    <s v="Yes"/>
    <s v="Yes"/>
    <s v="Fiber optic"/>
    <s v="Yes"/>
    <s v="Yes"/>
    <s v="No"/>
    <s v="Yes"/>
    <s v="No"/>
    <s v="Yes"/>
    <x v="0"/>
    <s v="Yes"/>
    <n v="19"/>
    <x v="3"/>
    <n v="52.41"/>
    <n v="1724"/>
    <d v="2023-09-18T00:00:00"/>
    <x v="0"/>
    <s v="A"/>
  </r>
  <r>
    <n v="1060"/>
    <s v="Male"/>
    <x v="0"/>
    <s v="Yes"/>
    <s v="No"/>
    <s v="No"/>
    <s v="No"/>
    <s v="DSL"/>
    <s v="Yes"/>
    <s v="Yes"/>
    <s v="No"/>
    <s v="No"/>
    <s v="No"/>
    <s v="Yes"/>
    <x v="1"/>
    <s v="No"/>
    <n v="34"/>
    <x v="2"/>
    <n v="65.27"/>
    <n v="1310.23"/>
    <d v="2023-05-20T00:00:00"/>
    <x v="0"/>
    <s v="A"/>
  </r>
  <r>
    <n v="1061"/>
    <s v="Female"/>
    <x v="0"/>
    <s v="No"/>
    <s v="Yes"/>
    <s v="Yes"/>
    <s v="No"/>
    <s v="DSL"/>
    <s v="No"/>
    <s v="No"/>
    <s v="No"/>
    <s v="No"/>
    <s v="Yes"/>
    <s v="No"/>
    <x v="1"/>
    <s v="Yes"/>
    <n v="15"/>
    <x v="0"/>
    <n v="20.09"/>
    <n v="4118"/>
    <d v="2024-03-18T00:00:00"/>
    <x v="0"/>
    <s v="A"/>
  </r>
  <r>
    <n v="1062"/>
    <s v="Female"/>
    <x v="0"/>
    <s v="Yes"/>
    <s v="Yes"/>
    <s v="Yes"/>
    <s v="Yes"/>
    <s v="No"/>
    <s v="No"/>
    <s v="No"/>
    <s v="No"/>
    <s v="No"/>
    <s v="Yes"/>
    <s v="No"/>
    <x v="0"/>
    <s v="No"/>
    <n v="5"/>
    <x v="2"/>
    <n v="717.35772229112604"/>
    <n v="969.63"/>
    <d v="2021-04-21T00:00:00"/>
    <x v="0"/>
    <s v="A"/>
  </r>
  <r>
    <n v="1063"/>
    <s v="Female"/>
    <x v="1"/>
    <s v="No"/>
    <s v="Yes"/>
    <s v="Yes"/>
    <s v="No"/>
    <s v="Fiber optic"/>
    <s v="No"/>
    <s v="Yes"/>
    <s v="No"/>
    <s v="No"/>
    <s v="Yes"/>
    <s v="No"/>
    <x v="1"/>
    <s v="Yes"/>
    <n v="11"/>
    <x v="0"/>
    <n v="86.47"/>
    <n v="2775.68"/>
    <d v="2020-08-02T00:00:00"/>
    <x v="0"/>
    <s v="A"/>
  </r>
  <r>
    <n v="1064"/>
    <s v="Female"/>
    <x v="0"/>
    <s v="No"/>
    <s v="No"/>
    <s v="Yes"/>
    <s v="No"/>
    <s v="DSL"/>
    <s v="Yes"/>
    <s v="Yes"/>
    <s v="Yes"/>
    <s v="Yes"/>
    <s v="No"/>
    <s v="No"/>
    <x v="2"/>
    <s v="No"/>
    <n v="37"/>
    <x v="0"/>
    <n v="82.1"/>
    <n v="2484.52"/>
    <d v="2020-07-09T00:00:00"/>
    <x v="0"/>
    <s v="A"/>
  </r>
  <r>
    <n v="1065"/>
    <s v="Female"/>
    <x v="0"/>
    <s v="No"/>
    <s v="Yes"/>
    <s v="Yes"/>
    <s v="No"/>
    <s v="Fiber optic"/>
    <s v="No"/>
    <s v="Yes"/>
    <s v="No"/>
    <s v="No"/>
    <s v="Yes"/>
    <s v="Yes"/>
    <x v="0"/>
    <s v="No"/>
    <n v="59"/>
    <x v="1"/>
    <n v="41.83"/>
    <n v="4466.8599999999997"/>
    <d v="2020-05-15T00:00:00"/>
    <x v="1"/>
    <s v="A"/>
  </r>
  <r>
    <n v="1066"/>
    <s v="Male"/>
    <x v="0"/>
    <s v="No"/>
    <s v="No"/>
    <s v="No"/>
    <s v="No"/>
    <s v="Fiber optic"/>
    <s v="No"/>
    <s v="No"/>
    <s v="Yes"/>
    <s v="No"/>
    <s v="Yes"/>
    <s v="No"/>
    <x v="2"/>
    <s v="No"/>
    <n v="13"/>
    <x v="2"/>
    <n v="45.45"/>
    <n v="4006.03"/>
    <d v="2020-04-03T00:00:00"/>
    <x v="0"/>
    <s v="A"/>
  </r>
  <r>
    <n v="1067"/>
    <s v="Male"/>
    <x v="0"/>
    <s v="No"/>
    <s v="No"/>
    <s v="Yes"/>
    <s v="No"/>
    <s v="Fiber optic"/>
    <s v="No"/>
    <s v="No"/>
    <s v="No"/>
    <s v="Yes"/>
    <s v="Yes"/>
    <s v="No"/>
    <x v="1"/>
    <s v="Yes"/>
    <n v="52"/>
    <x v="2"/>
    <n v="50.25"/>
    <n v="7382.32"/>
    <d v="2020-03-23T00:00:00"/>
    <x v="0"/>
    <s v="A"/>
  </r>
  <r>
    <n v="1068"/>
    <s v="Male"/>
    <x v="0"/>
    <s v="No"/>
    <s v="No"/>
    <s v="No"/>
    <s v="No"/>
    <s v="Fiber optic"/>
    <s v="No"/>
    <s v="Yes"/>
    <s v="No"/>
    <s v="Yes"/>
    <s v="Yes"/>
    <s v="Yes"/>
    <x v="1"/>
    <s v="No"/>
    <n v="0"/>
    <x v="1"/>
    <n v="60.8"/>
    <n v="301.86"/>
    <d v="2023-11-05T00:00:00"/>
    <x v="0"/>
    <s v="A"/>
  </r>
  <r>
    <n v="1069"/>
    <s v="Male"/>
    <x v="0"/>
    <s v="Yes"/>
    <s v="Yes"/>
    <s v="Yes"/>
    <s v="No"/>
    <s v="DSL"/>
    <s v="No"/>
    <s v="No"/>
    <s v="No"/>
    <s v="Yes"/>
    <s v="No"/>
    <s v="No"/>
    <x v="1"/>
    <s v="Yes"/>
    <n v="49"/>
    <x v="3"/>
    <n v="68.349999999999994"/>
    <n v="420.79"/>
    <d v="2024-02-17T00:00:00"/>
    <x v="0"/>
    <s v="A"/>
  </r>
  <r>
    <n v="1070"/>
    <s v="Female"/>
    <x v="0"/>
    <s v="Yes"/>
    <s v="No"/>
    <s v="Yes"/>
    <s v="No"/>
    <s v="Fiber optic"/>
    <s v="No"/>
    <s v="No"/>
    <s v="No"/>
    <s v="No"/>
    <s v="Yes"/>
    <s v="No"/>
    <x v="0"/>
    <s v="Yes"/>
    <n v="36"/>
    <x v="2"/>
    <n v="86.84"/>
    <n v="1648.04"/>
    <d v="2024-01-01T00:00:00"/>
    <x v="0"/>
    <s v="A"/>
  </r>
  <r>
    <n v="1071"/>
    <s v="Male"/>
    <x v="0"/>
    <s v="No"/>
    <s v="No"/>
    <s v="No"/>
    <s v="Yes"/>
    <s v="No"/>
    <s v="No"/>
    <s v="No"/>
    <s v="No"/>
    <s v="No"/>
    <s v="Yes"/>
    <s v="Yes"/>
    <x v="1"/>
    <s v="Yes"/>
    <n v="48"/>
    <x v="1"/>
    <n v="7.8466666666666667"/>
    <n v="376.64"/>
    <d v="2021-01-26T00:00:00"/>
    <x v="0"/>
    <s v="A"/>
  </r>
  <r>
    <n v="1072"/>
    <s v="Male"/>
    <x v="0"/>
    <s v="Yes"/>
    <s v="No"/>
    <s v="Yes"/>
    <s v="No"/>
    <s v="Fiber optic"/>
    <s v="No"/>
    <s v="No"/>
    <s v="No"/>
    <s v="Yes"/>
    <s v="Yes"/>
    <s v="No"/>
    <x v="0"/>
    <s v="No"/>
    <n v="52"/>
    <x v="2"/>
    <n v="30.68"/>
    <n v="1169.94"/>
    <d v="2021-03-08T00:00:00"/>
    <x v="0"/>
    <s v="A"/>
  </r>
  <r>
    <n v="1073"/>
    <s v="Male"/>
    <x v="0"/>
    <s v="Yes"/>
    <s v="Yes"/>
    <s v="Yes"/>
    <s v="No"/>
    <s v="No"/>
    <s v="Yes"/>
    <s v="Yes"/>
    <s v="Yes"/>
    <s v="No"/>
    <s v="Yes"/>
    <s v="No"/>
    <x v="0"/>
    <s v="No"/>
    <n v="32"/>
    <x v="2"/>
    <n v="92.91"/>
    <n v="7743.59"/>
    <d v="2023-09-01T00:00:00"/>
    <x v="0"/>
    <s v="A"/>
  </r>
  <r>
    <n v="1074"/>
    <s v="Female"/>
    <x v="0"/>
    <s v="Yes"/>
    <s v="No"/>
    <s v="No"/>
    <s v="Yes"/>
    <s v="Fiber optic"/>
    <s v="Yes"/>
    <s v="Yes"/>
    <s v="Yes"/>
    <s v="No"/>
    <s v="Yes"/>
    <s v="No"/>
    <x v="2"/>
    <s v="No"/>
    <n v="5"/>
    <x v="2"/>
    <n v="39.96"/>
    <n v="815.87"/>
    <d v="2023-04-21T00:00:00"/>
    <x v="0"/>
    <s v="A"/>
  </r>
  <r>
    <n v="1075"/>
    <s v="Female"/>
    <x v="0"/>
    <s v="Yes"/>
    <s v="Yes"/>
    <s v="Yes"/>
    <s v="No"/>
    <s v="DSL"/>
    <s v="No"/>
    <s v="No"/>
    <s v="No"/>
    <s v="No"/>
    <s v="Yes"/>
    <s v="No"/>
    <x v="1"/>
    <s v="Yes"/>
    <n v="33"/>
    <x v="2"/>
    <n v="36.869999999999997"/>
    <n v="0"/>
    <d v="2020-05-31T00:00:00"/>
    <x v="0"/>
    <s v="A"/>
  </r>
  <r>
    <n v="1076"/>
    <s v="Male"/>
    <x v="1"/>
    <s v="No"/>
    <s v="Yes"/>
    <s v="Yes"/>
    <s v="No"/>
    <s v="No"/>
    <s v="Yes"/>
    <s v="No"/>
    <s v="Yes"/>
    <s v="Yes"/>
    <s v="Yes"/>
    <s v="No"/>
    <x v="1"/>
    <s v="Yes"/>
    <n v="6"/>
    <x v="2"/>
    <n v="88.22"/>
    <n v="2698.97"/>
    <d v="2021-10-29T00:00:00"/>
    <x v="0"/>
    <s v="A"/>
  </r>
  <r>
    <n v="1077"/>
    <s v="Male"/>
    <x v="0"/>
    <s v="No"/>
    <s v="No"/>
    <s v="Yes"/>
    <s v="Yes"/>
    <s v="DSL"/>
    <s v="No"/>
    <s v="No"/>
    <s v="No"/>
    <s v="No"/>
    <s v="No"/>
    <s v="No"/>
    <x v="1"/>
    <s v="No"/>
    <n v="55"/>
    <x v="1"/>
    <n v="115.28581818181819"/>
    <n v="6340.72"/>
    <d v="2021-04-21T00:00:00"/>
    <x v="0"/>
    <s v="A"/>
  </r>
  <r>
    <n v="1078"/>
    <s v="Female"/>
    <x v="0"/>
    <s v="No"/>
    <s v="No"/>
    <s v="Yes"/>
    <s v="Yes"/>
    <s v="Fiber optic"/>
    <s v="No"/>
    <s v="Yes"/>
    <s v="No"/>
    <s v="Yes"/>
    <s v="No"/>
    <s v="No"/>
    <x v="2"/>
    <s v="Yes"/>
    <n v="32"/>
    <x v="0"/>
    <n v="82.89"/>
    <n v="6004.15"/>
    <d v="2020-08-18T00:00:00"/>
    <x v="0"/>
    <s v="A"/>
  </r>
  <r>
    <n v="1079"/>
    <s v="Male"/>
    <x v="0"/>
    <s v="No"/>
    <s v="Yes"/>
    <s v="Yes"/>
    <s v="No"/>
    <s v="DSL"/>
    <s v="Yes"/>
    <s v="No"/>
    <s v="Yes"/>
    <s v="No"/>
    <s v="No"/>
    <s v="No"/>
    <x v="0"/>
    <s v="Yes"/>
    <n v="41"/>
    <x v="2"/>
    <n v="26.38"/>
    <n v="6227.14"/>
    <d v="2020-08-11T00:00:00"/>
    <x v="0"/>
    <s v="A"/>
  </r>
  <r>
    <n v="1080"/>
    <s v="Male"/>
    <x v="1"/>
    <s v="Yes"/>
    <s v="No"/>
    <s v="Yes"/>
    <s v="Yes"/>
    <s v="No"/>
    <s v="Yes"/>
    <s v="No"/>
    <s v="No"/>
    <s v="Yes"/>
    <s v="No"/>
    <s v="No"/>
    <x v="1"/>
    <s v="Yes"/>
    <n v="32"/>
    <x v="3"/>
    <n v="84.66"/>
    <n v="3644.47"/>
    <d v="2023-06-17T00:00:00"/>
    <x v="0"/>
    <s v="A"/>
  </r>
  <r>
    <n v="1081"/>
    <s v="Female"/>
    <x v="0"/>
    <s v="No"/>
    <s v="Yes"/>
    <s v="Yes"/>
    <s v="Yes"/>
    <s v="No"/>
    <s v="Yes"/>
    <s v="No"/>
    <s v="No"/>
    <s v="No"/>
    <s v="No"/>
    <s v="Yes"/>
    <x v="2"/>
    <s v="No"/>
    <n v="27"/>
    <x v="3"/>
    <n v="21.65"/>
    <n v="4714.45"/>
    <d v="2020-06-01T00:00:00"/>
    <x v="0"/>
    <s v="A"/>
  </r>
  <r>
    <n v="1082"/>
    <s v="Female"/>
    <x v="0"/>
    <s v="No"/>
    <s v="No"/>
    <s v="No"/>
    <s v="Yes"/>
    <s v="Fiber optic"/>
    <s v="No"/>
    <s v="No"/>
    <s v="No"/>
    <s v="No"/>
    <s v="Yes"/>
    <s v="Yes"/>
    <x v="2"/>
    <s v="Yes"/>
    <n v="35"/>
    <x v="3"/>
    <n v="76.930000000000007"/>
    <n v="6471.12"/>
    <d v="2020-03-16T00:00:00"/>
    <x v="0"/>
    <s v="A"/>
  </r>
  <r>
    <n v="1083"/>
    <s v="Female"/>
    <x v="0"/>
    <s v="Yes"/>
    <s v="No"/>
    <s v="Yes"/>
    <s v="No"/>
    <s v="No"/>
    <s v="Yes"/>
    <s v="No"/>
    <s v="No"/>
    <s v="Yes"/>
    <s v="Yes"/>
    <s v="No"/>
    <x v="0"/>
    <s v="No"/>
    <n v="70"/>
    <x v="2"/>
    <n v="51.98"/>
    <n v="1305.6199999999999"/>
    <d v="2021-09-10T00:00:00"/>
    <x v="0"/>
    <s v="A"/>
  </r>
  <r>
    <n v="1084"/>
    <s v="Female"/>
    <x v="0"/>
    <s v="Yes"/>
    <s v="No"/>
    <s v="Yes"/>
    <s v="No"/>
    <s v="Fiber optic"/>
    <s v="No"/>
    <s v="Yes"/>
    <s v="Yes"/>
    <s v="Yes"/>
    <s v="No"/>
    <s v="No"/>
    <x v="0"/>
    <s v="Yes"/>
    <n v="15"/>
    <x v="3"/>
    <n v="73.42"/>
    <n v="3826.62"/>
    <d v="2023-07-10T00:00:00"/>
    <x v="0"/>
    <s v="A"/>
  </r>
  <r>
    <n v="1085"/>
    <s v="Male"/>
    <x v="1"/>
    <s v="No"/>
    <s v="No"/>
    <s v="Yes"/>
    <s v="No"/>
    <s v="Fiber optic"/>
    <s v="No"/>
    <s v="No"/>
    <s v="Yes"/>
    <s v="Yes"/>
    <s v="Yes"/>
    <s v="No"/>
    <x v="2"/>
    <s v="No"/>
    <n v="36"/>
    <x v="2"/>
    <n v="104.05"/>
    <n v="1818.83"/>
    <d v="2021-10-30T00:00:00"/>
    <x v="0"/>
    <s v="A"/>
  </r>
  <r>
    <n v="1086"/>
    <s v="Male"/>
    <x v="1"/>
    <s v="Yes"/>
    <s v="No"/>
    <s v="No"/>
    <s v="No"/>
    <s v="No"/>
    <s v="Yes"/>
    <s v="No"/>
    <s v="Yes"/>
    <s v="No"/>
    <s v="No"/>
    <s v="Yes"/>
    <x v="0"/>
    <s v="Yes"/>
    <n v="53"/>
    <x v="0"/>
    <n v="69.86"/>
    <n v="2382.64"/>
    <d v="2021-03-25T00:00:00"/>
    <x v="0"/>
    <s v="A"/>
  </r>
  <r>
    <n v="1087"/>
    <s v="Female"/>
    <x v="0"/>
    <s v="Yes"/>
    <s v="No"/>
    <s v="Yes"/>
    <s v="Yes"/>
    <s v="Fiber optic"/>
    <s v="No"/>
    <s v="No"/>
    <s v="No"/>
    <s v="No"/>
    <s v="No"/>
    <s v="No"/>
    <x v="1"/>
    <s v="Yes"/>
    <n v="53"/>
    <x v="0"/>
    <n v="58.93"/>
    <n v="7330.48"/>
    <d v="2022-12-23T00:00:00"/>
    <x v="0"/>
    <s v="A"/>
  </r>
  <r>
    <n v="1088"/>
    <s v="Male"/>
    <x v="0"/>
    <s v="No"/>
    <s v="No"/>
    <s v="Yes"/>
    <s v="No"/>
    <s v="DSL"/>
    <s v="Yes"/>
    <s v="Yes"/>
    <s v="Yes"/>
    <s v="No"/>
    <s v="Yes"/>
    <s v="Yes"/>
    <x v="1"/>
    <s v="Yes"/>
    <n v="24"/>
    <x v="3"/>
    <n v="148.54791666666668"/>
    <n v="3565.15"/>
    <d v="2024-09-28T00:00:00"/>
    <x v="0"/>
    <s v="A"/>
  </r>
  <r>
    <n v="1089"/>
    <s v="Female"/>
    <x v="1"/>
    <s v="No"/>
    <s v="No"/>
    <s v="Yes"/>
    <s v="No"/>
    <s v="No"/>
    <s v="No"/>
    <s v="No"/>
    <s v="No"/>
    <s v="No"/>
    <s v="No"/>
    <s v="No"/>
    <x v="1"/>
    <s v="No"/>
    <n v="14"/>
    <x v="1"/>
    <n v="96.38"/>
    <n v="6575.34"/>
    <d v="2023-07-14T00:00:00"/>
    <x v="0"/>
    <s v="A"/>
  </r>
  <r>
    <n v="1090"/>
    <s v="Female"/>
    <x v="0"/>
    <s v="No"/>
    <s v="Yes"/>
    <s v="Yes"/>
    <s v="No"/>
    <s v="No"/>
    <s v="No"/>
    <s v="No"/>
    <s v="No"/>
    <s v="No"/>
    <s v="No"/>
    <s v="No"/>
    <x v="1"/>
    <s v="Yes"/>
    <n v="61"/>
    <x v="0"/>
    <n v="118.79"/>
    <n v="2304.4899999999998"/>
    <d v="2024-02-28T00:00:00"/>
    <x v="0"/>
    <s v="A"/>
  </r>
  <r>
    <n v="1091"/>
    <s v="Female"/>
    <x v="0"/>
    <s v="Yes"/>
    <s v="No"/>
    <s v="Yes"/>
    <s v="Yes"/>
    <s v="Fiber optic"/>
    <s v="No"/>
    <s v="No"/>
    <s v="No"/>
    <s v="No"/>
    <s v="Yes"/>
    <s v="No"/>
    <x v="2"/>
    <s v="Yes"/>
    <n v="39"/>
    <x v="2"/>
    <n v="28.68"/>
    <n v="7985.91"/>
    <d v="2021-04-27T00:00:00"/>
    <x v="0"/>
    <s v="A"/>
  </r>
  <r>
    <n v="1092"/>
    <s v="Female"/>
    <x v="0"/>
    <s v="Yes"/>
    <s v="No"/>
    <s v="No"/>
    <s v="Yes"/>
    <s v="Fiber optic"/>
    <s v="Yes"/>
    <s v="Yes"/>
    <s v="Yes"/>
    <s v="Yes"/>
    <s v="No"/>
    <s v="Yes"/>
    <x v="0"/>
    <s v="Yes"/>
    <n v="42"/>
    <x v="2"/>
    <n v="52.28"/>
    <n v="2958.47"/>
    <d v="2020-04-07T00:00:00"/>
    <x v="0"/>
    <s v="A"/>
  </r>
  <r>
    <n v="1093"/>
    <s v="Female"/>
    <x v="0"/>
    <s v="No"/>
    <s v="No"/>
    <s v="No"/>
    <s v="Yes"/>
    <s v="No"/>
    <s v="No"/>
    <s v="Yes"/>
    <s v="No"/>
    <s v="No"/>
    <s v="No"/>
    <s v="No"/>
    <x v="1"/>
    <s v="Yes"/>
    <n v="46"/>
    <x v="0"/>
    <n v="47.21"/>
    <n v="5362.74"/>
    <d v="2021-05-18T00:00:00"/>
    <x v="0"/>
    <s v="B"/>
  </r>
  <r>
    <n v="1094"/>
    <s v="Male"/>
    <x v="0"/>
    <s v="No"/>
    <s v="No"/>
    <s v="No"/>
    <s v="No"/>
    <s v="No"/>
    <s v="Yes"/>
    <s v="No"/>
    <s v="No"/>
    <s v="No"/>
    <s v="No"/>
    <s v="No"/>
    <x v="0"/>
    <s v="Yes"/>
    <n v="21"/>
    <x v="2"/>
    <n v="61.46"/>
    <n v="1629.51"/>
    <d v="2020-02-22T00:00:00"/>
    <x v="0"/>
    <s v="A"/>
  </r>
  <r>
    <n v="1095"/>
    <s v="Female"/>
    <x v="0"/>
    <s v="No"/>
    <s v="No"/>
    <s v="Yes"/>
    <s v="No"/>
    <s v="DSL"/>
    <s v="Yes"/>
    <s v="Yes"/>
    <s v="Yes"/>
    <s v="No"/>
    <s v="No"/>
    <s v="Yes"/>
    <x v="1"/>
    <s v="Yes"/>
    <n v="11"/>
    <x v="0"/>
    <n v="710.19636363636357"/>
    <n v="7812.16"/>
    <d v="2020-01-29T00:00:00"/>
    <x v="0"/>
    <s v="A"/>
  </r>
  <r>
    <n v="1096"/>
    <s v="Male"/>
    <x v="0"/>
    <s v="No"/>
    <s v="No"/>
    <s v="Yes"/>
    <s v="No"/>
    <s v="DSL"/>
    <s v="No"/>
    <s v="No"/>
    <s v="No"/>
    <s v="Yes"/>
    <s v="Yes"/>
    <s v="Yes"/>
    <x v="1"/>
    <s v="No"/>
    <n v="11"/>
    <x v="2"/>
    <n v="289.72181818181821"/>
    <n v="3186.94"/>
    <d v="2023-11-27T00:00:00"/>
    <x v="1"/>
    <s v="A"/>
  </r>
  <r>
    <n v="1097"/>
    <s v="Male"/>
    <x v="0"/>
    <s v="Yes"/>
    <s v="No"/>
    <s v="Yes"/>
    <s v="No"/>
    <s v="Fiber optic"/>
    <s v="No"/>
    <s v="No"/>
    <s v="No"/>
    <s v="No"/>
    <s v="Yes"/>
    <s v="No"/>
    <x v="0"/>
    <s v="No"/>
    <n v="1"/>
    <x v="0"/>
    <n v="709"/>
    <n v="3705.73"/>
    <d v="2023-08-10T00:00:00"/>
    <x v="1"/>
    <s v="A"/>
  </r>
  <r>
    <n v="1098"/>
    <s v="Male"/>
    <x v="0"/>
    <s v="Yes"/>
    <s v="Yes"/>
    <s v="Yes"/>
    <s v="Yes"/>
    <s v="Fiber optic"/>
    <s v="Yes"/>
    <s v="No"/>
    <s v="No"/>
    <s v="Yes"/>
    <s v="No"/>
    <s v="Yes"/>
    <x v="1"/>
    <s v="Yes"/>
    <n v="19"/>
    <x v="2"/>
    <n v="112.22"/>
    <n v="7184.95"/>
    <d v="2023-01-25T00:00:00"/>
    <x v="1"/>
    <s v="A"/>
  </r>
  <r>
    <n v="1099"/>
    <s v="Female"/>
    <x v="0"/>
    <s v="Yes"/>
    <s v="No"/>
    <s v="No"/>
    <s v="No"/>
    <s v="DSL"/>
    <s v="Yes"/>
    <s v="Yes"/>
    <s v="Yes"/>
    <s v="No"/>
    <s v="No"/>
    <s v="No"/>
    <x v="2"/>
    <s v="Yes"/>
    <n v="69"/>
    <x v="1"/>
    <n v="91.010579710144924"/>
    <n v="6279.73"/>
    <d v="2020-09-12T00:00:00"/>
    <x v="1"/>
    <s v="A"/>
  </r>
  <r>
    <n v="1100"/>
    <s v="Female"/>
    <x v="0"/>
    <s v="No"/>
    <s v="Yes"/>
    <s v="No"/>
    <s v="No"/>
    <s v="No"/>
    <s v="No"/>
    <s v="No"/>
    <s v="No"/>
    <s v="No"/>
    <s v="No"/>
    <s v="No"/>
    <x v="2"/>
    <s v="Yes"/>
    <n v="60"/>
    <x v="2"/>
    <n v="111.98"/>
    <n v="5825.69"/>
    <d v="2022-03-29T00:00:00"/>
    <x v="1"/>
    <s v="A"/>
  </r>
  <r>
    <n v="1101"/>
    <s v="Female"/>
    <x v="1"/>
    <s v="No"/>
    <s v="No"/>
    <s v="Yes"/>
    <s v="Yes"/>
    <s v="Fiber optic"/>
    <s v="No"/>
    <s v="No"/>
    <s v="No"/>
    <s v="No"/>
    <s v="No"/>
    <s v="Yes"/>
    <x v="1"/>
    <s v="No"/>
    <n v="31"/>
    <x v="1"/>
    <n v="0"/>
    <n v="0"/>
    <d v="2020-08-05T00:00:00"/>
    <x v="1"/>
    <s v="A"/>
  </r>
  <r>
    <n v="1102"/>
    <s v="Male"/>
    <x v="0"/>
    <s v="No"/>
    <s v="Yes"/>
    <s v="Yes"/>
    <s v="Yes"/>
    <s v="Fiber optic"/>
    <s v="No"/>
    <s v="Yes"/>
    <s v="Yes"/>
    <s v="No"/>
    <s v="Yes"/>
    <s v="Yes"/>
    <x v="1"/>
    <s v="No"/>
    <n v="27"/>
    <x v="0"/>
    <n v="60.78"/>
    <n v="3756.29"/>
    <d v="2024-03-27T00:00:00"/>
    <x v="1"/>
    <s v="A"/>
  </r>
  <r>
    <n v="1103"/>
    <s v="Female"/>
    <x v="0"/>
    <s v="Yes"/>
    <s v="No"/>
    <s v="Yes"/>
    <s v="Yes"/>
    <s v="DSL"/>
    <s v="No"/>
    <s v="Yes"/>
    <s v="Yes"/>
    <s v="No"/>
    <s v="No"/>
    <s v="No"/>
    <x v="2"/>
    <s v="No"/>
    <n v="38"/>
    <x v="2"/>
    <n v="88.35"/>
    <n v="4491.34"/>
    <d v="2021-08-12T00:00:00"/>
    <x v="1"/>
    <s v="A"/>
  </r>
  <r>
    <n v="1104"/>
    <s v="Female"/>
    <x v="0"/>
    <s v="Yes"/>
    <s v="Yes"/>
    <s v="Yes"/>
    <s v="No"/>
    <s v="DSL"/>
    <s v="No"/>
    <s v="Yes"/>
    <s v="No"/>
    <s v="No"/>
    <s v="No"/>
    <s v="Yes"/>
    <x v="1"/>
    <s v="Yes"/>
    <n v="47"/>
    <x v="3"/>
    <n v="150.70808510638298"/>
    <n v="7083.28"/>
    <d v="2021-10-22T00:00:00"/>
    <x v="1"/>
    <s v="A"/>
  </r>
  <r>
    <n v="1105"/>
    <s v="Male"/>
    <x v="0"/>
    <s v="No"/>
    <s v="No"/>
    <s v="Yes"/>
    <s v="No"/>
    <s v="Fiber optic"/>
    <s v="No"/>
    <s v="No"/>
    <s v="Yes"/>
    <s v="No"/>
    <s v="Yes"/>
    <s v="No"/>
    <x v="1"/>
    <s v="No"/>
    <n v="29"/>
    <x v="2"/>
    <n v="47.79"/>
    <n v="6438.77"/>
    <d v="2021-03-17T00:00:00"/>
    <x v="1"/>
    <s v="A"/>
  </r>
  <r>
    <n v="1106"/>
    <s v="Male"/>
    <x v="0"/>
    <s v="No"/>
    <s v="Yes"/>
    <s v="No"/>
    <s v="No"/>
    <s v="Fiber optic"/>
    <s v="No"/>
    <s v="No"/>
    <s v="No"/>
    <s v="Yes"/>
    <s v="No"/>
    <s v="No"/>
    <x v="1"/>
    <s v="Yes"/>
    <n v="50"/>
    <x v="3"/>
    <n v="98.56"/>
    <n v="7446.62"/>
    <d v="2022-05-14T00:00:00"/>
    <x v="1"/>
    <s v="A"/>
  </r>
  <r>
    <n v="1107"/>
    <s v="Female"/>
    <x v="0"/>
    <s v="Yes"/>
    <s v="No"/>
    <s v="Yes"/>
    <s v="No"/>
    <s v="Fiber optic"/>
    <s v="Yes"/>
    <s v="No"/>
    <s v="No"/>
    <s v="Yes"/>
    <s v="Yes"/>
    <s v="No"/>
    <x v="1"/>
    <s v="No"/>
    <n v="20"/>
    <x v="2"/>
    <n v="117"/>
    <n v="4700.6099999999997"/>
    <d v="2021-11-16T00:00:00"/>
    <x v="1"/>
    <s v="A"/>
  </r>
  <r>
    <n v="1108"/>
    <s v="Female"/>
    <x v="0"/>
    <s v="Yes"/>
    <s v="No"/>
    <s v="Yes"/>
    <s v="Yes"/>
    <s v="Fiber optic"/>
    <s v="No"/>
    <s v="No"/>
    <s v="No"/>
    <s v="No"/>
    <s v="Yes"/>
    <s v="No"/>
    <x v="1"/>
    <s v="Yes"/>
    <n v="41"/>
    <x v="2"/>
    <n v="64.27"/>
    <n v="1327.55"/>
    <d v="2021-08-03T00:00:00"/>
    <x v="1"/>
    <s v="A"/>
  </r>
  <r>
    <n v="1109"/>
    <s v="Female"/>
    <x v="0"/>
    <s v="No"/>
    <s v="No"/>
    <s v="No"/>
    <s v="Yes"/>
    <s v="Fiber optic"/>
    <s v="No"/>
    <s v="Yes"/>
    <s v="Yes"/>
    <s v="Yes"/>
    <s v="Yes"/>
    <s v="Yes"/>
    <x v="0"/>
    <s v="Yes"/>
    <n v="24"/>
    <x v="0"/>
    <n v="65.260000000000005"/>
    <n v="903.2"/>
    <d v="2023-07-12T00:00:00"/>
    <x v="1"/>
    <s v="A"/>
  </r>
  <r>
    <n v="1110"/>
    <s v="Female"/>
    <x v="0"/>
    <s v="Yes"/>
    <s v="Yes"/>
    <s v="Yes"/>
    <s v="No"/>
    <s v="DSL"/>
    <s v="Yes"/>
    <s v="No"/>
    <s v="Yes"/>
    <s v="No"/>
    <s v="No"/>
    <s v="No"/>
    <x v="2"/>
    <s v="Yes"/>
    <n v="20"/>
    <x v="2"/>
    <n v="46.89"/>
    <n v="2747.02"/>
    <d v="2020-03-28T00:00:00"/>
    <x v="1"/>
    <s v="A"/>
  </r>
  <r>
    <n v="1111"/>
    <s v="Female"/>
    <x v="0"/>
    <s v="No"/>
    <s v="No"/>
    <s v="Yes"/>
    <s v="Yes"/>
    <s v="DSL"/>
    <s v="No"/>
    <s v="No"/>
    <s v="No"/>
    <s v="No"/>
    <s v="Yes"/>
    <s v="No"/>
    <x v="1"/>
    <s v="No"/>
    <n v="34"/>
    <x v="2"/>
    <n v="71.819999999999993"/>
    <n v="159.6"/>
    <d v="2024-11-28T00:00:00"/>
    <x v="0"/>
    <s v="A"/>
  </r>
  <r>
    <n v="1112"/>
    <s v="Male"/>
    <x v="0"/>
    <s v="Yes"/>
    <s v="Yes"/>
    <s v="Yes"/>
    <s v="No"/>
    <s v="Fiber optic"/>
    <s v="Yes"/>
    <s v="No"/>
    <s v="No"/>
    <s v="Yes"/>
    <s v="Yes"/>
    <s v="Yes"/>
    <x v="2"/>
    <s v="Yes"/>
    <n v="63"/>
    <x v="2"/>
    <n v="25.25"/>
    <n v="7559.64"/>
    <d v="2024-06-28T00:00:00"/>
    <x v="0"/>
    <s v="B"/>
  </r>
  <r>
    <n v="1113"/>
    <s v="Female"/>
    <x v="0"/>
    <s v="Yes"/>
    <s v="No"/>
    <s v="No"/>
    <s v="Yes"/>
    <s v="No"/>
    <s v="No"/>
    <s v="Yes"/>
    <s v="No"/>
    <s v="Yes"/>
    <s v="No"/>
    <s v="Yes"/>
    <x v="1"/>
    <s v="Yes"/>
    <n v="11"/>
    <x v="3"/>
    <n v="651.96546734562696"/>
    <n v="653.37"/>
    <d v="2024-07-12T00:00:00"/>
    <x v="0"/>
    <s v="A"/>
  </r>
  <r>
    <n v="1114"/>
    <s v="Female"/>
    <x v="1"/>
    <s v="Yes"/>
    <s v="No"/>
    <s v="Yes"/>
    <s v="No"/>
    <s v="Fiber optic"/>
    <s v="No"/>
    <s v="No"/>
    <s v="Yes"/>
    <s v="No"/>
    <s v="No"/>
    <s v="Yes"/>
    <x v="1"/>
    <s v="No"/>
    <n v="60"/>
    <x v="2"/>
    <n v="36.201666666666668"/>
    <n v="2172.1"/>
    <d v="2024-07-14T00:00:00"/>
    <x v="0"/>
    <s v="A"/>
  </r>
  <r>
    <n v="1115"/>
    <s v="Female"/>
    <x v="0"/>
    <s v="Yes"/>
    <s v="No"/>
    <s v="Yes"/>
    <s v="No"/>
    <s v="No"/>
    <s v="No"/>
    <s v="Yes"/>
    <s v="No"/>
    <s v="No"/>
    <s v="No"/>
    <s v="No"/>
    <x v="0"/>
    <s v="Yes"/>
    <n v="27"/>
    <x v="3"/>
    <n v="116.36"/>
    <n v="6230.15"/>
    <d v="2024-11-17T00:00:00"/>
    <x v="0"/>
    <s v="A"/>
  </r>
  <r>
    <n v="1116"/>
    <s v="Female"/>
    <x v="0"/>
    <s v="No"/>
    <s v="No"/>
    <s v="Yes"/>
    <s v="Yes"/>
    <s v="No"/>
    <s v="Yes"/>
    <s v="Yes"/>
    <s v="Yes"/>
    <s v="No"/>
    <s v="No"/>
    <s v="Yes"/>
    <x v="0"/>
    <s v="Yes"/>
    <n v="23"/>
    <x v="3"/>
    <n v="56.73"/>
    <n v="4744.26"/>
    <d v="2021-04-11T00:00:00"/>
    <x v="0"/>
    <s v="B"/>
  </r>
  <r>
    <n v="1117"/>
    <s v="Male"/>
    <x v="0"/>
    <s v="Yes"/>
    <s v="No"/>
    <s v="No"/>
    <s v="No"/>
    <s v="DSL"/>
    <s v="Yes"/>
    <s v="No"/>
    <s v="No"/>
    <s v="Yes"/>
    <s v="Yes"/>
    <s v="No"/>
    <x v="1"/>
    <s v="No"/>
    <n v="40"/>
    <x v="1"/>
    <n v="53.47"/>
    <n v="6412"/>
    <d v="2023-01-28T00:00:00"/>
    <x v="0"/>
    <s v="A"/>
  </r>
  <r>
    <n v="1118"/>
    <s v="Male"/>
    <x v="0"/>
    <s v="Yes"/>
    <s v="No"/>
    <s v="Yes"/>
    <s v="Yes"/>
    <s v="DSL"/>
    <s v="No"/>
    <s v="Yes"/>
    <s v="No"/>
    <s v="No"/>
    <s v="No"/>
    <s v="No"/>
    <x v="1"/>
    <s v="Yes"/>
    <n v="56"/>
    <x v="1"/>
    <n v="23.02"/>
    <n v="1438.21"/>
    <d v="2022-04-09T00:00:00"/>
    <x v="0"/>
    <s v="A"/>
  </r>
  <r>
    <n v="1119"/>
    <s v="Male"/>
    <x v="0"/>
    <s v="No"/>
    <s v="No"/>
    <s v="Yes"/>
    <s v="Yes"/>
    <s v="Fiber optic"/>
    <s v="No"/>
    <s v="Yes"/>
    <s v="No"/>
    <s v="No"/>
    <s v="Yes"/>
    <s v="No"/>
    <x v="2"/>
    <s v="No"/>
    <n v="26"/>
    <x v="3"/>
    <n v="26.86"/>
    <n v="3959.5"/>
    <d v="2023-03-25T00:00:00"/>
    <x v="0"/>
    <s v="A"/>
  </r>
  <r>
    <n v="1120"/>
    <s v="Male"/>
    <x v="0"/>
    <s v="No"/>
    <s v="Yes"/>
    <s v="Yes"/>
    <s v="Yes"/>
    <s v="No"/>
    <s v="Yes"/>
    <s v="No"/>
    <s v="No"/>
    <s v="No"/>
    <s v="No"/>
    <s v="Yes"/>
    <x v="1"/>
    <s v="Yes"/>
    <n v="15"/>
    <x v="0"/>
    <n v="93.58"/>
    <n v="1059.42"/>
    <d v="2020-08-02T00:00:00"/>
    <x v="0"/>
    <s v="A"/>
  </r>
  <r>
    <n v="1121"/>
    <s v="Female"/>
    <x v="0"/>
    <s v="No"/>
    <s v="No"/>
    <s v="Yes"/>
    <s v="Yes"/>
    <s v="No"/>
    <s v="No"/>
    <s v="Yes"/>
    <s v="No"/>
    <s v="No"/>
    <s v="No"/>
    <s v="No"/>
    <x v="1"/>
    <s v="Yes"/>
    <n v="71"/>
    <x v="2"/>
    <n v="29.44"/>
    <n v="5423.96"/>
    <d v="2022-08-17T00:00:00"/>
    <x v="0"/>
    <s v="A"/>
  </r>
  <r>
    <n v="1122"/>
    <s v="Female"/>
    <x v="0"/>
    <s v="No"/>
    <s v="No"/>
    <s v="Yes"/>
    <s v="No"/>
    <s v="Fiber optic"/>
    <s v="Yes"/>
    <s v="No"/>
    <s v="No"/>
    <s v="Yes"/>
    <s v="Yes"/>
    <s v="Yes"/>
    <x v="1"/>
    <s v="No"/>
    <n v="32"/>
    <x v="0"/>
    <n v="100.03625"/>
    <n v="3201.16"/>
    <d v="2023-09-08T00:00:00"/>
    <x v="0"/>
    <s v="A"/>
  </r>
  <r>
    <n v="1123"/>
    <s v="Male"/>
    <x v="0"/>
    <s v="Yes"/>
    <s v="No"/>
    <s v="Yes"/>
    <s v="Yes"/>
    <s v="Fiber optic"/>
    <s v="Yes"/>
    <s v="No"/>
    <s v="No"/>
    <s v="No"/>
    <s v="Yes"/>
    <s v="Yes"/>
    <x v="0"/>
    <s v="No"/>
    <n v="37"/>
    <x v="2"/>
    <n v="41.51"/>
    <n v="4882.2"/>
    <d v="2021-11-10T00:00:00"/>
    <x v="0"/>
    <s v="A"/>
  </r>
  <r>
    <n v="1124"/>
    <s v="Female"/>
    <x v="0"/>
    <s v="Yes"/>
    <s v="Yes"/>
    <s v="Yes"/>
    <s v="Yes"/>
    <s v="DSL"/>
    <s v="No"/>
    <s v="No"/>
    <s v="Yes"/>
    <s v="Yes"/>
    <s v="Yes"/>
    <s v="No"/>
    <x v="1"/>
    <s v="Yes"/>
    <n v="53"/>
    <x v="1"/>
    <n v="22.28"/>
    <n v="7732.01"/>
    <d v="2022-08-23T00:00:00"/>
    <x v="0"/>
    <s v="A"/>
  </r>
  <r>
    <n v="1125"/>
    <s v="Female"/>
    <x v="1"/>
    <s v="No"/>
    <s v="No"/>
    <s v="No"/>
    <s v="Yes"/>
    <s v="DSL"/>
    <s v="Yes"/>
    <s v="No"/>
    <s v="Yes"/>
    <s v="No"/>
    <s v="Yes"/>
    <s v="Yes"/>
    <x v="1"/>
    <s v="No"/>
    <n v="8"/>
    <x v="0"/>
    <n v="74.75"/>
    <n v="2111.2600000000002"/>
    <d v="2021-10-17T00:00:00"/>
    <x v="0"/>
    <s v="A"/>
  </r>
  <r>
    <n v="1126"/>
    <s v="Female"/>
    <x v="0"/>
    <s v="No"/>
    <s v="Yes"/>
    <s v="Yes"/>
    <s v="No"/>
    <s v="Fiber optic"/>
    <s v="Yes"/>
    <s v="No"/>
    <s v="Yes"/>
    <s v="No"/>
    <s v="No"/>
    <s v="No"/>
    <x v="0"/>
    <s v="Yes"/>
    <n v="30"/>
    <x v="2"/>
    <n v="73.734333333333339"/>
    <n v="2212.0300000000002"/>
    <d v="2020-02-13T00:00:00"/>
    <x v="0"/>
    <s v="A"/>
  </r>
  <r>
    <n v="1127"/>
    <s v="Female"/>
    <x v="0"/>
    <s v="No"/>
    <s v="Yes"/>
    <s v="Yes"/>
    <s v="Yes"/>
    <s v="Fiber optic"/>
    <s v="No"/>
    <s v="Yes"/>
    <s v="Yes"/>
    <s v="No"/>
    <s v="No"/>
    <s v="No"/>
    <x v="2"/>
    <s v="Yes"/>
    <n v="54"/>
    <x v="2"/>
    <n v="39.56"/>
    <n v="1101.71"/>
    <d v="2022-08-06T00:00:00"/>
    <x v="0"/>
    <s v="A"/>
  </r>
  <r>
    <n v="1128"/>
    <s v="Male"/>
    <x v="0"/>
    <s v="No"/>
    <s v="No"/>
    <s v="Yes"/>
    <s v="No"/>
    <s v="DSL"/>
    <s v="Yes"/>
    <s v="Yes"/>
    <s v="No"/>
    <s v="No"/>
    <s v="No"/>
    <s v="Yes"/>
    <x v="1"/>
    <s v="Yes"/>
    <n v="58"/>
    <x v="1"/>
    <n v="135.56293103448274"/>
    <n v="7862.65"/>
    <d v="2020-03-12T00:00:00"/>
    <x v="0"/>
    <s v="A"/>
  </r>
  <r>
    <n v="1129"/>
    <s v="Male"/>
    <x v="1"/>
    <s v="Yes"/>
    <s v="No"/>
    <s v="Yes"/>
    <s v="Yes"/>
    <s v="Fiber optic"/>
    <s v="No"/>
    <s v="No"/>
    <s v="Yes"/>
    <s v="No"/>
    <s v="No"/>
    <s v="Yes"/>
    <x v="1"/>
    <s v="Yes"/>
    <n v="23"/>
    <x v="1"/>
    <n v="36.979999999999997"/>
    <n v="4838.1899999999996"/>
    <d v="2021-05-30T00:00:00"/>
    <x v="1"/>
    <s v="A"/>
  </r>
  <r>
    <n v="1130"/>
    <s v="Male"/>
    <x v="0"/>
    <s v="Yes"/>
    <s v="No"/>
    <s v="Yes"/>
    <s v="No"/>
    <s v="Fiber optic"/>
    <s v="No"/>
    <s v="No"/>
    <s v="No"/>
    <s v="Yes"/>
    <s v="No"/>
    <s v="No"/>
    <x v="1"/>
    <s v="Yes"/>
    <n v="6"/>
    <x v="1"/>
    <n v="84.43"/>
    <n v="3659.72"/>
    <d v="2021-01-04T00:00:00"/>
    <x v="0"/>
    <s v="A"/>
  </r>
  <r>
    <n v="1131"/>
    <s v="Female"/>
    <x v="0"/>
    <s v="Yes"/>
    <s v="Yes"/>
    <s v="Yes"/>
    <s v="No"/>
    <s v="Fiber optic"/>
    <s v="No"/>
    <s v="No"/>
    <s v="No"/>
    <s v="No"/>
    <s v="Yes"/>
    <s v="No"/>
    <x v="0"/>
    <s v="No"/>
    <n v="55"/>
    <x v="3"/>
    <n v="36.57"/>
    <n v="6159.51"/>
    <d v="2023-11-05T00:00:00"/>
    <x v="0"/>
    <s v="A"/>
  </r>
  <r>
    <n v="1132"/>
    <s v="Male"/>
    <x v="0"/>
    <s v="Yes"/>
    <s v="No"/>
    <s v="No"/>
    <s v="Yes"/>
    <s v="Fiber optic"/>
    <s v="No"/>
    <s v="Yes"/>
    <s v="Yes"/>
    <s v="Yes"/>
    <s v="No"/>
    <s v="Yes"/>
    <x v="1"/>
    <s v="No"/>
    <n v="46"/>
    <x v="0"/>
    <n v="79.180000000000007"/>
    <n v="5860.86"/>
    <d v="2023-10-22T00:00:00"/>
    <x v="0"/>
    <s v="A"/>
  </r>
  <r>
    <n v="1133"/>
    <s v="Male"/>
    <x v="0"/>
    <s v="No"/>
    <s v="No"/>
    <s v="Yes"/>
    <s v="Yes"/>
    <s v="Fiber optic"/>
    <s v="Yes"/>
    <s v="Yes"/>
    <s v="Yes"/>
    <s v="No"/>
    <s v="No"/>
    <s v="Yes"/>
    <x v="2"/>
    <s v="Yes"/>
    <n v="14"/>
    <x v="1"/>
    <n v="119.5"/>
    <n v="172.05"/>
    <d v="2020-03-17T00:00:00"/>
    <x v="0"/>
    <s v="A"/>
  </r>
  <r>
    <n v="1134"/>
    <s v="Male"/>
    <x v="0"/>
    <s v="Yes"/>
    <s v="No"/>
    <s v="Yes"/>
    <s v="No"/>
    <s v="DSL"/>
    <s v="Yes"/>
    <s v="No"/>
    <s v="No"/>
    <s v="No"/>
    <s v="No"/>
    <s v="No"/>
    <x v="2"/>
    <s v="Yes"/>
    <n v="37"/>
    <x v="2"/>
    <n v="75.400000000000006"/>
    <n v="4141.42"/>
    <d v="2020-01-16T00:00:00"/>
    <x v="0"/>
    <s v="A"/>
  </r>
  <r>
    <n v="1135"/>
    <s v="Female"/>
    <x v="0"/>
    <s v="No"/>
    <s v="No"/>
    <s v="Yes"/>
    <s v="Yes"/>
    <s v="DSL"/>
    <s v="No"/>
    <s v="No"/>
    <s v="No"/>
    <s v="No"/>
    <s v="Yes"/>
    <s v="Yes"/>
    <x v="1"/>
    <s v="Yes"/>
    <n v="43"/>
    <x v="1"/>
    <n v="48.95"/>
    <n v="519.95000000000005"/>
    <d v="2022-11-27T00:00:00"/>
    <x v="1"/>
    <s v="A"/>
  </r>
  <r>
    <n v="1136"/>
    <s v="Male"/>
    <x v="0"/>
    <s v="Yes"/>
    <s v="No"/>
    <s v="Yes"/>
    <s v="Yes"/>
    <s v="DSL"/>
    <s v="No"/>
    <s v="No"/>
    <s v="Yes"/>
    <s v="No"/>
    <s v="No"/>
    <s v="Yes"/>
    <x v="1"/>
    <s v="Yes"/>
    <n v="40"/>
    <x v="2"/>
    <n v="80.900000000000006"/>
    <n v="1764.93"/>
    <d v="2020-06-02T00:00:00"/>
    <x v="0"/>
    <s v="A"/>
  </r>
  <r>
    <n v="1137"/>
    <s v="Female"/>
    <x v="0"/>
    <s v="Yes"/>
    <s v="No"/>
    <s v="Yes"/>
    <s v="Yes"/>
    <s v="DSL"/>
    <s v="No"/>
    <s v="Yes"/>
    <s v="No"/>
    <s v="Yes"/>
    <s v="No"/>
    <s v="No"/>
    <x v="1"/>
    <s v="No"/>
    <n v="26"/>
    <x v="2"/>
    <n v="13.761153846153848"/>
    <n v="357.79"/>
    <d v="2022-02-04T00:00:00"/>
    <x v="0"/>
    <s v="A"/>
  </r>
  <r>
    <n v="1138"/>
    <s v="Male"/>
    <x v="0"/>
    <s v="Yes"/>
    <s v="No"/>
    <s v="Yes"/>
    <s v="No"/>
    <s v="DSL"/>
    <s v="No"/>
    <s v="No"/>
    <s v="Yes"/>
    <s v="No"/>
    <s v="Yes"/>
    <s v="No"/>
    <x v="1"/>
    <s v="No"/>
    <n v="48"/>
    <x v="3"/>
    <n v="84.7"/>
    <n v="6026.36"/>
    <d v="2022-03-31T00:00:00"/>
    <x v="0"/>
    <s v="A"/>
  </r>
  <r>
    <n v="1139"/>
    <s v="Female"/>
    <x v="0"/>
    <s v="Yes"/>
    <s v="No"/>
    <s v="Yes"/>
    <s v="Yes"/>
    <s v="DSL"/>
    <s v="No"/>
    <s v="Yes"/>
    <s v="Yes"/>
    <s v="No"/>
    <s v="Yes"/>
    <s v="Yes"/>
    <x v="2"/>
    <s v="No"/>
    <n v="1"/>
    <x v="0"/>
    <n v="116.76"/>
    <n v="729.85"/>
    <d v="2022-07-01T00:00:00"/>
    <x v="0"/>
    <s v="A"/>
  </r>
  <r>
    <n v="1140"/>
    <s v="Female"/>
    <x v="0"/>
    <s v="No"/>
    <s v="Yes"/>
    <s v="Yes"/>
    <s v="Yes"/>
    <s v="No"/>
    <s v="No"/>
    <s v="No"/>
    <s v="No"/>
    <s v="Yes"/>
    <s v="No"/>
    <s v="No"/>
    <x v="1"/>
    <s v="No"/>
    <n v="65"/>
    <x v="2"/>
    <n v="37.950000000000003"/>
    <n v="1834.39"/>
    <d v="2024-06-16T00:00:00"/>
    <x v="0"/>
    <s v="A"/>
  </r>
  <r>
    <n v="1141"/>
    <s v="Male"/>
    <x v="0"/>
    <s v="Yes"/>
    <s v="No"/>
    <s v="Yes"/>
    <s v="Yes"/>
    <s v="Fiber optic"/>
    <s v="Yes"/>
    <s v="No"/>
    <s v="Yes"/>
    <s v="No"/>
    <s v="Yes"/>
    <s v="Yes"/>
    <x v="1"/>
    <s v="Yes"/>
    <n v="2"/>
    <x v="3"/>
    <n v="20.82"/>
    <n v="481.51"/>
    <d v="2023-05-01T00:00:00"/>
    <x v="0"/>
    <s v="A"/>
  </r>
  <r>
    <n v="1142"/>
    <s v="Female"/>
    <x v="1"/>
    <s v="No"/>
    <s v="Yes"/>
    <s v="Yes"/>
    <s v="Yes"/>
    <s v="DSL"/>
    <s v="Yes"/>
    <s v="Yes"/>
    <s v="Yes"/>
    <s v="No"/>
    <s v="No"/>
    <s v="Yes"/>
    <x v="2"/>
    <s v="Yes"/>
    <n v="16"/>
    <x v="0"/>
    <n v="26.27"/>
    <n v="6361.31"/>
    <d v="2022-06-17T00:00:00"/>
    <x v="0"/>
    <s v="A"/>
  </r>
  <r>
    <n v="1143"/>
    <s v="Male"/>
    <x v="0"/>
    <s v="Yes"/>
    <s v="Yes"/>
    <s v="Yes"/>
    <s v="Yes"/>
    <s v="Fiber optic"/>
    <s v="Yes"/>
    <s v="No"/>
    <s v="No"/>
    <s v="No"/>
    <s v="No"/>
    <s v="No"/>
    <x v="1"/>
    <s v="Yes"/>
    <n v="60"/>
    <x v="2"/>
    <n v="48.42"/>
    <n v="3808.39"/>
    <d v="2023-12-14T00:00:00"/>
    <x v="1"/>
    <s v="A"/>
  </r>
  <r>
    <n v="1144"/>
    <s v="Male"/>
    <x v="0"/>
    <s v="No"/>
    <s v="No"/>
    <s v="Yes"/>
    <s v="No"/>
    <s v="DSL"/>
    <s v="No"/>
    <s v="Yes"/>
    <s v="No"/>
    <s v="Yes"/>
    <s v="Yes"/>
    <s v="No"/>
    <x v="1"/>
    <s v="No"/>
    <n v="60"/>
    <x v="2"/>
    <n v="37.770000000000003"/>
    <n v="1014.6"/>
    <d v="2024-03-28T00:00:00"/>
    <x v="1"/>
    <s v="A"/>
  </r>
  <r>
    <n v="1145"/>
    <s v="Male"/>
    <x v="0"/>
    <s v="No"/>
    <s v="No"/>
    <s v="Yes"/>
    <s v="Yes"/>
    <s v="No"/>
    <s v="No"/>
    <s v="No"/>
    <s v="No"/>
    <s v="No"/>
    <s v="Yes"/>
    <s v="No"/>
    <x v="0"/>
    <s v="Yes"/>
    <n v="3"/>
    <x v="0"/>
    <n v="93.89"/>
    <n v="6083.75"/>
    <d v="2023-10-29T00:00:00"/>
    <x v="0"/>
    <s v="A"/>
  </r>
  <r>
    <n v="1146"/>
    <s v="Male"/>
    <x v="0"/>
    <s v="No"/>
    <s v="No"/>
    <s v="Yes"/>
    <s v="No"/>
    <s v="DSL"/>
    <s v="No"/>
    <s v="No"/>
    <s v="No"/>
    <s v="No"/>
    <s v="Yes"/>
    <s v="No"/>
    <x v="1"/>
    <s v="Yes"/>
    <n v="55"/>
    <x v="2"/>
    <n v="95.24"/>
    <n v="7069"/>
    <d v="2023-09-15T00:00:00"/>
    <x v="0"/>
    <s v="B"/>
  </r>
  <r>
    <n v="1147"/>
    <s v="Female"/>
    <x v="0"/>
    <s v="Yes"/>
    <s v="Yes"/>
    <s v="Yes"/>
    <s v="No"/>
    <s v="No"/>
    <s v="No"/>
    <s v="Yes"/>
    <s v="No"/>
    <s v="No"/>
    <s v="No"/>
    <s v="Yes"/>
    <x v="1"/>
    <s v="Yes"/>
    <n v="57"/>
    <x v="2"/>
    <n v="49.29"/>
    <n v="5686.37"/>
    <d v="2020-11-15T00:00:00"/>
    <x v="0"/>
    <s v="A"/>
  </r>
  <r>
    <n v="1148"/>
    <s v="Male"/>
    <x v="0"/>
    <s v="No"/>
    <s v="Yes"/>
    <s v="Yes"/>
    <s v="Yes"/>
    <s v="No"/>
    <s v="Yes"/>
    <s v="Yes"/>
    <s v="Yes"/>
    <s v="No"/>
    <s v="No"/>
    <s v="No"/>
    <x v="2"/>
    <s v="Yes"/>
    <n v="39"/>
    <x v="2"/>
    <n v="30.06"/>
    <n v="2070.0500000000002"/>
    <d v="2024-02-02T00:00:00"/>
    <x v="0"/>
    <s v="A"/>
  </r>
  <r>
    <n v="1149"/>
    <s v="Female"/>
    <x v="0"/>
    <s v="Yes"/>
    <s v="No"/>
    <s v="No"/>
    <s v="No"/>
    <s v="DSL"/>
    <s v="No"/>
    <s v="Yes"/>
    <s v="Yes"/>
    <s v="No"/>
    <s v="No"/>
    <s v="No"/>
    <x v="2"/>
    <s v="Yes"/>
    <n v="52"/>
    <x v="2"/>
    <n v="70.81"/>
    <n v="7436.46"/>
    <d v="2022-09-20T00:00:00"/>
    <x v="0"/>
    <s v="A"/>
  </r>
  <r>
    <n v="1150"/>
    <s v="Male"/>
    <x v="0"/>
    <s v="Yes"/>
    <s v="No"/>
    <s v="Yes"/>
    <s v="No"/>
    <s v="Fiber optic"/>
    <s v="Yes"/>
    <s v="No"/>
    <s v="Yes"/>
    <s v="No"/>
    <s v="No"/>
    <s v="No"/>
    <x v="1"/>
    <s v="Yes"/>
    <n v="32"/>
    <x v="1"/>
    <n v="115.93"/>
    <n v="2480.27"/>
    <d v="2020-10-29T00:00:00"/>
    <x v="0"/>
    <s v="A"/>
  </r>
  <r>
    <n v="1151"/>
    <s v="Female"/>
    <x v="1"/>
    <s v="Yes"/>
    <s v="Yes"/>
    <s v="Yes"/>
    <s v="No"/>
    <s v="Fiber optic"/>
    <s v="Yes"/>
    <s v="No"/>
    <s v="No"/>
    <s v="No"/>
    <s v="Yes"/>
    <s v="No"/>
    <x v="1"/>
    <s v="Yes"/>
    <n v="20"/>
    <x v="2"/>
    <n v="103.01"/>
    <n v="2146.02"/>
    <d v="2021-03-23T00:00:00"/>
    <x v="0"/>
    <s v="A"/>
  </r>
  <r>
    <n v="1152"/>
    <s v="Male"/>
    <x v="0"/>
    <s v="No"/>
    <s v="No"/>
    <s v="No"/>
    <s v="Yes"/>
    <s v="Fiber optic"/>
    <s v="No"/>
    <s v="No"/>
    <s v="No"/>
    <s v="No"/>
    <s v="No"/>
    <s v="Yes"/>
    <x v="0"/>
    <s v="No"/>
    <n v="19"/>
    <x v="2"/>
    <n v="78.02"/>
    <n v="2883.34"/>
    <d v="2020-10-08T00:00:00"/>
    <x v="0"/>
    <s v="A"/>
  </r>
  <r>
    <n v="1153"/>
    <s v="Male"/>
    <x v="1"/>
    <s v="No"/>
    <s v="No"/>
    <s v="Yes"/>
    <s v="No"/>
    <s v="DSL"/>
    <s v="No"/>
    <s v="No"/>
    <s v="Yes"/>
    <s v="No"/>
    <s v="No"/>
    <s v="Yes"/>
    <x v="2"/>
    <s v="Yes"/>
    <n v="9"/>
    <x v="3"/>
    <n v="71.17"/>
    <n v="3765.53"/>
    <d v="2022-01-14T00:00:00"/>
    <x v="0"/>
    <s v="A"/>
  </r>
  <r>
    <n v="1154"/>
    <s v="Female"/>
    <x v="0"/>
    <s v="Yes"/>
    <s v="No"/>
    <s v="No"/>
    <s v="Yes"/>
    <s v="No"/>
    <s v="No"/>
    <s v="No"/>
    <s v="No"/>
    <s v="No"/>
    <s v="Yes"/>
    <s v="No"/>
    <x v="1"/>
    <s v="No"/>
    <n v="4"/>
    <x v="2"/>
    <n v="119.2"/>
    <n v="6147.01"/>
    <d v="2021-08-31T00:00:00"/>
    <x v="0"/>
    <s v="A"/>
  </r>
  <r>
    <n v="1155"/>
    <s v="Male"/>
    <x v="0"/>
    <s v="No"/>
    <s v="No"/>
    <s v="Yes"/>
    <s v="Yes"/>
    <s v="DSL"/>
    <s v="Yes"/>
    <s v="Yes"/>
    <s v="Yes"/>
    <s v="Yes"/>
    <s v="Yes"/>
    <s v="No"/>
    <x v="1"/>
    <s v="Yes"/>
    <n v="45"/>
    <x v="3"/>
    <n v="74.69"/>
    <n v="2611.25"/>
    <d v="2021-04-16T00:00:00"/>
    <x v="0"/>
    <s v="A"/>
  </r>
  <r>
    <n v="1156"/>
    <s v="Female"/>
    <x v="0"/>
    <s v="No"/>
    <s v="No"/>
    <s v="Yes"/>
    <s v="No"/>
    <s v="DSL"/>
    <s v="No"/>
    <s v="No"/>
    <s v="No"/>
    <s v="Yes"/>
    <s v="Yes"/>
    <s v="No"/>
    <x v="2"/>
    <s v="Yes"/>
    <n v="14"/>
    <x v="0"/>
    <n v="38.01"/>
    <n v="2212.64"/>
    <d v="2020-11-17T00:00:00"/>
    <x v="0"/>
    <s v="A"/>
  </r>
  <r>
    <n v="1157"/>
    <s v="Female"/>
    <x v="0"/>
    <s v="Yes"/>
    <s v="Yes"/>
    <s v="Yes"/>
    <s v="Yes"/>
    <s v="Fiber optic"/>
    <s v="Yes"/>
    <s v="Yes"/>
    <s v="Yes"/>
    <s v="No"/>
    <s v="Yes"/>
    <s v="No"/>
    <x v="1"/>
    <s v="Yes"/>
    <n v="47"/>
    <x v="3"/>
    <n v="57.44"/>
    <n v="2689.69"/>
    <d v="2020-10-03T00:00:00"/>
    <x v="0"/>
    <s v="A"/>
  </r>
  <r>
    <n v="1158"/>
    <s v="Male"/>
    <x v="0"/>
    <s v="Yes"/>
    <s v="No"/>
    <s v="Yes"/>
    <s v="No"/>
    <s v="DSL"/>
    <s v="Yes"/>
    <s v="Yes"/>
    <s v="No"/>
    <s v="No"/>
    <s v="Yes"/>
    <s v="No"/>
    <x v="1"/>
    <s v="Yes"/>
    <n v="70"/>
    <x v="2"/>
    <n v="43.97"/>
    <n v="0"/>
    <d v="2022-09-08T00:00:00"/>
    <x v="1"/>
    <s v="A"/>
  </r>
  <r>
    <n v="1159"/>
    <s v="Female"/>
    <x v="0"/>
    <s v="Yes"/>
    <s v="No"/>
    <s v="Yes"/>
    <s v="Yes"/>
    <s v="DSL"/>
    <s v="Yes"/>
    <s v="No"/>
    <s v="No"/>
    <s v="No"/>
    <s v="Yes"/>
    <s v="Yes"/>
    <x v="0"/>
    <s v="No"/>
    <n v="35"/>
    <x v="2"/>
    <n v="60.27"/>
    <n v="116.07"/>
    <d v="2021-09-08T00:00:00"/>
    <x v="0"/>
    <s v="A"/>
  </r>
  <r>
    <n v="1160"/>
    <s v="Male"/>
    <x v="1"/>
    <s v="Yes"/>
    <s v="No"/>
    <s v="Yes"/>
    <s v="No"/>
    <s v="DSL"/>
    <s v="No"/>
    <s v="No"/>
    <s v="No"/>
    <s v="No"/>
    <s v="Yes"/>
    <s v="Yes"/>
    <x v="2"/>
    <s v="No"/>
    <n v="16"/>
    <x v="2"/>
    <n v="98.11"/>
    <n v="3267.39"/>
    <d v="2020-10-13T00:00:00"/>
    <x v="0"/>
    <s v="A"/>
  </r>
  <r>
    <n v="1161"/>
    <s v="Female"/>
    <x v="1"/>
    <s v="No"/>
    <s v="No"/>
    <s v="Yes"/>
    <s v="No"/>
    <s v="DSL"/>
    <s v="No"/>
    <s v="No"/>
    <s v="No"/>
    <s v="Yes"/>
    <s v="Yes"/>
    <s v="No"/>
    <x v="0"/>
    <s v="Yes"/>
    <n v="33"/>
    <x v="1"/>
    <n v="230.2618181818182"/>
    <n v="7598.64"/>
    <d v="2022-07-24T00:00:00"/>
    <x v="0"/>
    <s v="A"/>
  </r>
  <r>
    <n v="1162"/>
    <s v="Female"/>
    <x v="0"/>
    <s v="No"/>
    <s v="No"/>
    <s v="No"/>
    <s v="Yes"/>
    <s v="Fiber optic"/>
    <s v="No"/>
    <s v="Yes"/>
    <s v="No"/>
    <s v="Yes"/>
    <s v="Yes"/>
    <s v="Yes"/>
    <x v="1"/>
    <s v="No"/>
    <n v="67"/>
    <x v="2"/>
    <n v="55.74"/>
    <n v="1632.74"/>
    <d v="2020-11-06T00:00:00"/>
    <x v="0"/>
    <s v="A"/>
  </r>
  <r>
    <n v="1163"/>
    <s v="Male"/>
    <x v="1"/>
    <s v="No"/>
    <s v="Yes"/>
    <s v="Yes"/>
    <s v="No"/>
    <s v="No"/>
    <s v="No"/>
    <s v="No"/>
    <s v="No"/>
    <s v="Yes"/>
    <s v="Yes"/>
    <s v="Yes"/>
    <x v="1"/>
    <s v="Yes"/>
    <n v="14"/>
    <x v="1"/>
    <n v="104.11"/>
    <n v="1371.65"/>
    <d v="2021-10-22T00:00:00"/>
    <x v="0"/>
    <s v="A"/>
  </r>
  <r>
    <n v="1164"/>
    <s v="Male"/>
    <x v="1"/>
    <s v="Yes"/>
    <s v="Yes"/>
    <s v="Yes"/>
    <s v="No"/>
    <s v="Fiber optic"/>
    <s v="No"/>
    <s v="Yes"/>
    <s v="Yes"/>
    <s v="No"/>
    <s v="No"/>
    <s v="Yes"/>
    <x v="1"/>
    <s v="Yes"/>
    <n v="68"/>
    <x v="2"/>
    <n v="118.9"/>
    <n v="766.31"/>
    <d v="2020-03-22T00:00:00"/>
    <x v="0"/>
    <s v="A"/>
  </r>
  <r>
    <n v="1165"/>
    <s v="Female"/>
    <x v="0"/>
    <s v="No"/>
    <s v="No"/>
    <s v="Yes"/>
    <s v="No"/>
    <s v="DSL"/>
    <s v="No"/>
    <s v="Yes"/>
    <s v="Yes"/>
    <s v="Yes"/>
    <s v="Yes"/>
    <s v="No"/>
    <x v="0"/>
    <s v="Yes"/>
    <n v="9"/>
    <x v="1"/>
    <n v="90.19"/>
    <n v="7365.03"/>
    <d v="2020-05-30T00:00:00"/>
    <x v="0"/>
    <s v="A"/>
  </r>
  <r>
    <n v="1166"/>
    <s v="Male"/>
    <x v="0"/>
    <s v="Yes"/>
    <s v="Yes"/>
    <s v="Yes"/>
    <s v="Yes"/>
    <s v="Fiber optic"/>
    <s v="Yes"/>
    <s v="No"/>
    <s v="No"/>
    <s v="No"/>
    <s v="No"/>
    <s v="Yes"/>
    <x v="1"/>
    <s v="No"/>
    <n v="67"/>
    <x v="2"/>
    <n v="40"/>
    <n v="6055.29"/>
    <d v="2023-05-05T00:00:00"/>
    <x v="0"/>
    <s v="A"/>
  </r>
  <r>
    <n v="1167"/>
    <s v="Female"/>
    <x v="0"/>
    <s v="Yes"/>
    <s v="Yes"/>
    <s v="Yes"/>
    <s v="Yes"/>
    <s v="DSL"/>
    <s v="No"/>
    <s v="No"/>
    <s v="Yes"/>
    <s v="Yes"/>
    <s v="Yes"/>
    <s v="No"/>
    <x v="1"/>
    <s v="No"/>
    <n v="52"/>
    <x v="2"/>
    <n v="22.89"/>
    <n v="2382.33"/>
    <d v="2020-09-04T00:00:00"/>
    <x v="0"/>
    <s v="A"/>
  </r>
  <r>
    <n v="1168"/>
    <s v="Male"/>
    <x v="0"/>
    <s v="Yes"/>
    <s v="Yes"/>
    <s v="Yes"/>
    <s v="No"/>
    <s v="Fiber optic"/>
    <s v="No"/>
    <s v="Yes"/>
    <s v="No"/>
    <s v="No"/>
    <s v="Yes"/>
    <s v="No"/>
    <x v="1"/>
    <s v="No"/>
    <n v="56"/>
    <x v="2"/>
    <n v="105.02178571428571"/>
    <n v="5881.22"/>
    <d v="2021-01-09T00:00:00"/>
    <x v="0"/>
    <s v="A"/>
  </r>
  <r>
    <n v="1169"/>
    <s v="Female"/>
    <x v="0"/>
    <s v="No"/>
    <s v="Yes"/>
    <s v="Yes"/>
    <s v="No"/>
    <s v="DSL"/>
    <s v="No"/>
    <s v="No"/>
    <s v="Yes"/>
    <s v="No"/>
    <s v="Yes"/>
    <s v="No"/>
    <x v="1"/>
    <s v="Yes"/>
    <n v="50"/>
    <x v="3"/>
    <n v="113.5"/>
    <n v="2174.0300000000002"/>
    <d v="2023-09-17T00:00:00"/>
    <x v="0"/>
    <s v="A"/>
  </r>
  <r>
    <n v="1170"/>
    <s v="Female"/>
    <x v="0"/>
    <s v="Yes"/>
    <s v="No"/>
    <s v="Yes"/>
    <s v="Yes"/>
    <s v="No"/>
    <s v="Yes"/>
    <s v="Yes"/>
    <s v="Yes"/>
    <s v="No"/>
    <s v="No"/>
    <s v="No"/>
    <x v="1"/>
    <s v="Yes"/>
    <n v="50"/>
    <x v="0"/>
    <n v="92.76"/>
    <n v="4536.12"/>
    <d v="2020-02-23T00:00:00"/>
    <x v="0"/>
    <s v="B"/>
  </r>
  <r>
    <n v="1171"/>
    <s v="Male"/>
    <x v="0"/>
    <s v="Yes"/>
    <s v="No"/>
    <s v="Yes"/>
    <s v="No"/>
    <s v="DSL"/>
    <s v="Yes"/>
    <s v="No"/>
    <s v="No"/>
    <s v="No"/>
    <s v="Yes"/>
    <s v="Yes"/>
    <x v="0"/>
    <s v="Yes"/>
    <n v="23"/>
    <x v="2"/>
    <n v="51.19"/>
    <n v="2627.68"/>
    <d v="2023-07-16T00:00:00"/>
    <x v="0"/>
    <s v="A"/>
  </r>
  <r>
    <n v="1172"/>
    <s v="Female"/>
    <x v="1"/>
    <s v="Yes"/>
    <s v="Yes"/>
    <s v="Yes"/>
    <s v="No"/>
    <s v="Fiber optic"/>
    <s v="No"/>
    <s v="No"/>
    <s v="No"/>
    <s v="No"/>
    <s v="Yes"/>
    <s v="Yes"/>
    <x v="1"/>
    <s v="No"/>
    <n v="18"/>
    <x v="2"/>
    <n v="88.26"/>
    <n v="5796.08"/>
    <d v="2021-10-09T00:00:00"/>
    <x v="0"/>
    <s v="A"/>
  </r>
  <r>
    <n v="1173"/>
    <s v="Male"/>
    <x v="1"/>
    <s v="No"/>
    <s v="No"/>
    <s v="Yes"/>
    <s v="No"/>
    <s v="DSL"/>
    <s v="No"/>
    <s v="Yes"/>
    <s v="Yes"/>
    <s v="Yes"/>
    <s v="No"/>
    <s v="Yes"/>
    <x v="1"/>
    <s v="Yes"/>
    <n v="19"/>
    <x v="3"/>
    <n v="62.02"/>
    <n v="4710.32"/>
    <d v="2021-07-06T00:00:00"/>
    <x v="0"/>
    <s v="A"/>
  </r>
  <r>
    <n v="1174"/>
    <s v="Male"/>
    <x v="0"/>
    <s v="No"/>
    <s v="No"/>
    <s v="Yes"/>
    <s v="No"/>
    <s v="No"/>
    <s v="Yes"/>
    <s v="No"/>
    <s v="No"/>
    <s v="No"/>
    <s v="No"/>
    <s v="No"/>
    <x v="1"/>
    <s v="No"/>
    <n v="48"/>
    <x v="2"/>
    <n v="56.542499999999997"/>
    <n v="2714.04"/>
    <d v="2022-09-07T00:00:00"/>
    <x v="0"/>
    <s v="A"/>
  </r>
  <r>
    <n v="1175"/>
    <s v="Male"/>
    <x v="0"/>
    <s v="Yes"/>
    <s v="No"/>
    <s v="Yes"/>
    <s v="Yes"/>
    <s v="DSL"/>
    <s v="No"/>
    <s v="No"/>
    <s v="No"/>
    <s v="Yes"/>
    <s v="No"/>
    <s v="No"/>
    <x v="1"/>
    <s v="Yes"/>
    <n v="3"/>
    <x v="0"/>
    <n v="42.25"/>
    <n v="2303.4"/>
    <d v="2023-04-01T00:00:00"/>
    <x v="0"/>
    <s v="A"/>
  </r>
  <r>
    <n v="1176"/>
    <s v="Male"/>
    <x v="1"/>
    <s v="Yes"/>
    <s v="No"/>
    <s v="No"/>
    <s v="Yes"/>
    <s v="DSL"/>
    <s v="No"/>
    <s v="No"/>
    <s v="Yes"/>
    <s v="No"/>
    <s v="No"/>
    <s v="Yes"/>
    <x v="1"/>
    <s v="No"/>
    <n v="63"/>
    <x v="2"/>
    <n v="64.86"/>
    <n v="4400.74"/>
    <d v="2020-06-22T00:00:00"/>
    <x v="0"/>
    <s v="A"/>
  </r>
  <r>
    <n v="1177"/>
    <s v="Female"/>
    <x v="0"/>
    <s v="Yes"/>
    <s v="No"/>
    <s v="Yes"/>
    <s v="No"/>
    <s v="DSL"/>
    <s v="No"/>
    <s v="Yes"/>
    <s v="Yes"/>
    <s v="No"/>
    <s v="No"/>
    <s v="No"/>
    <x v="2"/>
    <s v="No"/>
    <n v="4"/>
    <x v="2"/>
    <n v="119.82"/>
    <n v="3904.29"/>
    <d v="2021-02-22T00:00:00"/>
    <x v="0"/>
    <s v="A"/>
  </r>
  <r>
    <n v="1178"/>
    <s v="Female"/>
    <x v="0"/>
    <s v="No"/>
    <s v="No"/>
    <s v="Yes"/>
    <s v="No"/>
    <s v="DSL"/>
    <s v="No"/>
    <s v="No"/>
    <s v="No"/>
    <s v="No"/>
    <s v="No"/>
    <s v="No"/>
    <x v="1"/>
    <s v="No"/>
    <n v="30"/>
    <x v="2"/>
    <n v="41.22"/>
    <n v="6434.53"/>
    <d v="2020-01-20T00:00:00"/>
    <x v="0"/>
    <s v="A"/>
  </r>
  <r>
    <n v="1179"/>
    <s v="Male"/>
    <x v="0"/>
    <s v="Yes"/>
    <s v="No"/>
    <s v="Yes"/>
    <s v="Yes"/>
    <s v="No"/>
    <s v="Yes"/>
    <s v="Yes"/>
    <s v="No"/>
    <s v="No"/>
    <s v="Yes"/>
    <s v="No"/>
    <x v="0"/>
    <s v="No"/>
    <n v="51"/>
    <x v="0"/>
    <n v="26.99"/>
    <n v="2545.1999999999998"/>
    <d v="2024-02-03T00:00:00"/>
    <x v="0"/>
    <s v="A"/>
  </r>
  <r>
    <n v="1180"/>
    <s v="Female"/>
    <x v="0"/>
    <s v="No"/>
    <s v="No"/>
    <s v="Yes"/>
    <s v="Yes"/>
    <s v="No"/>
    <s v="No"/>
    <s v="No"/>
    <s v="Yes"/>
    <s v="No"/>
    <s v="Yes"/>
    <s v="No"/>
    <x v="0"/>
    <s v="Yes"/>
    <n v="3"/>
    <x v="0"/>
    <n v="117.17"/>
    <n v="404.39"/>
    <d v="2020-08-05T00:00:00"/>
    <x v="0"/>
    <s v="A"/>
  </r>
  <r>
    <n v="1181"/>
    <s v="Female"/>
    <x v="0"/>
    <s v="No"/>
    <s v="Yes"/>
    <s v="Yes"/>
    <s v="No"/>
    <s v="No"/>
    <s v="No"/>
    <s v="Yes"/>
    <s v="No"/>
    <s v="No"/>
    <s v="Yes"/>
    <s v="Yes"/>
    <x v="2"/>
    <s v="No"/>
    <n v="44"/>
    <x v="2"/>
    <n v="72.19"/>
    <n v="1391.86"/>
    <d v="2020-03-15T00:00:00"/>
    <x v="0"/>
    <s v="A"/>
  </r>
  <r>
    <n v="1182"/>
    <s v="Male"/>
    <x v="0"/>
    <s v="No"/>
    <s v="No"/>
    <s v="No"/>
    <s v="Yes"/>
    <s v="Fiber optic"/>
    <s v="No"/>
    <s v="Yes"/>
    <s v="Yes"/>
    <s v="No"/>
    <s v="No"/>
    <s v="No"/>
    <x v="1"/>
    <s v="No"/>
    <n v="25"/>
    <x v="2"/>
    <n v="109.62"/>
    <n v="7477.59"/>
    <d v="2021-01-07T00:00:00"/>
    <x v="0"/>
    <s v="A"/>
  </r>
  <r>
    <n v="1183"/>
    <s v="Female"/>
    <x v="0"/>
    <s v="No"/>
    <s v="Yes"/>
    <s v="No"/>
    <s v="No"/>
    <s v="No"/>
    <s v="Yes"/>
    <s v="No"/>
    <s v="Yes"/>
    <s v="No"/>
    <s v="Yes"/>
    <s v="No"/>
    <x v="1"/>
    <s v="Yes"/>
    <n v="62"/>
    <x v="2"/>
    <n v="53.77"/>
    <n v="5832.9"/>
    <d v="2023-12-14T00:00:00"/>
    <x v="0"/>
    <s v="A"/>
  </r>
  <r>
    <n v="1184"/>
    <s v="Female"/>
    <x v="1"/>
    <s v="No"/>
    <s v="No"/>
    <s v="Yes"/>
    <s v="No"/>
    <s v="DSL"/>
    <s v="No"/>
    <s v="Yes"/>
    <s v="Yes"/>
    <s v="No"/>
    <s v="Yes"/>
    <s v="No"/>
    <x v="1"/>
    <s v="Yes"/>
    <n v="9"/>
    <x v="3"/>
    <n v="26.32"/>
    <n v="1472.82"/>
    <d v="2020-11-09T00:00:00"/>
    <x v="1"/>
    <s v="A"/>
  </r>
  <r>
    <n v="1185"/>
    <s v="Male"/>
    <x v="0"/>
    <s v="No"/>
    <s v="No"/>
    <s v="Yes"/>
    <s v="Yes"/>
    <s v="Fiber optic"/>
    <s v="No"/>
    <s v="Yes"/>
    <s v="No"/>
    <s v="No"/>
    <s v="No"/>
    <s v="Yes"/>
    <x v="1"/>
    <s v="No"/>
    <n v="39"/>
    <x v="3"/>
    <n v="47.12"/>
    <n v="3979.61"/>
    <d v="2020-02-02T00:00:00"/>
    <x v="1"/>
    <s v="A"/>
  </r>
  <r>
    <n v="1186"/>
    <s v="Female"/>
    <x v="0"/>
    <s v="No"/>
    <s v="No"/>
    <s v="Yes"/>
    <s v="No"/>
    <s v="No"/>
    <s v="No"/>
    <s v="Yes"/>
    <s v="No"/>
    <s v="No"/>
    <s v="No"/>
    <s v="Yes"/>
    <x v="1"/>
    <s v="No"/>
    <n v="70"/>
    <x v="2"/>
    <n v="42"/>
    <n v="4389.83"/>
    <d v="2022-09-30T00:00:00"/>
    <x v="1"/>
    <s v="A"/>
  </r>
  <r>
    <n v="1187"/>
    <s v="Female"/>
    <x v="0"/>
    <s v="No"/>
    <s v="No"/>
    <s v="Yes"/>
    <s v="Yes"/>
    <s v="Fiber optic"/>
    <s v="No"/>
    <s v="Yes"/>
    <s v="No"/>
    <s v="Yes"/>
    <s v="Yes"/>
    <s v="No"/>
    <x v="0"/>
    <s v="No"/>
    <n v="0"/>
    <x v="0"/>
    <n v="77.52"/>
    <n v="5211.47"/>
    <d v="2023-10-04T00:00:00"/>
    <x v="1"/>
    <s v="A"/>
  </r>
  <r>
    <n v="1188"/>
    <s v="Female"/>
    <x v="0"/>
    <s v="No"/>
    <s v="Yes"/>
    <s v="Yes"/>
    <s v="Yes"/>
    <s v="DSL"/>
    <s v="No"/>
    <s v="No"/>
    <s v="Yes"/>
    <s v="No"/>
    <s v="No"/>
    <s v="No"/>
    <x v="1"/>
    <s v="Yes"/>
    <n v="67"/>
    <x v="3"/>
    <n v="57.45"/>
    <n v="7251.26"/>
    <d v="2021-06-14T00:00:00"/>
    <x v="1"/>
    <s v="A"/>
  </r>
  <r>
    <n v="1189"/>
    <s v="Male"/>
    <x v="1"/>
    <s v="No"/>
    <s v="Yes"/>
    <s v="Yes"/>
    <s v="No"/>
    <s v="Fiber optic"/>
    <s v="Yes"/>
    <s v="No"/>
    <s v="No"/>
    <s v="Yes"/>
    <s v="Yes"/>
    <s v="No"/>
    <x v="0"/>
    <s v="Yes"/>
    <n v="71"/>
    <x v="2"/>
    <n v="29.52"/>
    <n v="1876"/>
    <d v="2024-05-13T00:00:00"/>
    <x v="1"/>
    <s v="A"/>
  </r>
  <r>
    <n v="1190"/>
    <s v="Female"/>
    <x v="0"/>
    <s v="No"/>
    <s v="No"/>
    <s v="Yes"/>
    <s v="No"/>
    <s v="DSL"/>
    <s v="Yes"/>
    <s v="No"/>
    <s v="Yes"/>
    <s v="No"/>
    <s v="Yes"/>
    <s v="Yes"/>
    <x v="2"/>
    <s v="Yes"/>
    <n v="4"/>
    <x v="2"/>
    <n v="110.73"/>
    <n v="4635.54"/>
    <d v="2024-09-14T00:00:00"/>
    <x v="1"/>
    <s v="A"/>
  </r>
  <r>
    <n v="1191"/>
    <s v="Female"/>
    <x v="1"/>
    <s v="Yes"/>
    <s v="No"/>
    <s v="Yes"/>
    <s v="Yes"/>
    <s v="DSL"/>
    <s v="No"/>
    <s v="No"/>
    <s v="No"/>
    <s v="No"/>
    <s v="No"/>
    <s v="No"/>
    <x v="1"/>
    <s v="Yes"/>
    <n v="48"/>
    <x v="3"/>
    <n v="109.39"/>
    <n v="5470.2"/>
    <d v="2020-08-02T00:00:00"/>
    <x v="1"/>
    <s v="A"/>
  </r>
  <r>
    <n v="1192"/>
    <s v="Female"/>
    <x v="0"/>
    <s v="No"/>
    <s v="No"/>
    <s v="Yes"/>
    <s v="Yes"/>
    <s v="Fiber optic"/>
    <s v="No"/>
    <s v="No"/>
    <s v="Yes"/>
    <s v="Yes"/>
    <s v="No"/>
    <s v="No"/>
    <x v="1"/>
    <s v="Yes"/>
    <n v="10"/>
    <x v="2"/>
    <n v="149.06"/>
    <n v="1490.6"/>
    <d v="2021-06-11T00:00:00"/>
    <x v="1"/>
    <s v="A"/>
  </r>
  <r>
    <n v="1193"/>
    <s v="Female"/>
    <x v="1"/>
    <s v="Yes"/>
    <s v="Yes"/>
    <s v="Yes"/>
    <s v="No"/>
    <s v="Fiber optic"/>
    <s v="Yes"/>
    <s v="Yes"/>
    <s v="Yes"/>
    <s v="No"/>
    <s v="No"/>
    <s v="No"/>
    <x v="1"/>
    <s v="Yes"/>
    <n v="4"/>
    <x v="0"/>
    <n v="40.64"/>
    <n v="4372.59"/>
    <d v="2024-07-04T00:00:00"/>
    <x v="1"/>
    <s v="A"/>
  </r>
  <r>
    <n v="1194"/>
    <s v="Male"/>
    <x v="0"/>
    <s v="No"/>
    <s v="No"/>
    <s v="Yes"/>
    <s v="No"/>
    <s v="No"/>
    <s v="Yes"/>
    <s v="Yes"/>
    <s v="No"/>
    <s v="No"/>
    <s v="No"/>
    <s v="No"/>
    <x v="0"/>
    <s v="Yes"/>
    <n v="40"/>
    <x v="3"/>
    <n v="104.11"/>
    <n v="6575.51"/>
    <d v="2020-12-10T00:00:00"/>
    <x v="1"/>
    <s v="A"/>
  </r>
  <r>
    <n v="1195"/>
    <s v="Female"/>
    <x v="0"/>
    <s v="No"/>
    <s v="No"/>
    <s v="Yes"/>
    <s v="No"/>
    <s v="DSL"/>
    <s v="No"/>
    <s v="Yes"/>
    <s v="Yes"/>
    <s v="No"/>
    <s v="No"/>
    <s v="Yes"/>
    <x v="1"/>
    <s v="No"/>
    <n v="71"/>
    <x v="2"/>
    <n v="79.17"/>
    <n v="2562.71"/>
    <d v="2024-02-09T00:00:00"/>
    <x v="1"/>
    <s v="A"/>
  </r>
  <r>
    <n v="1196"/>
    <s v="Female"/>
    <x v="0"/>
    <s v="Yes"/>
    <s v="Yes"/>
    <s v="No"/>
    <s v="Yes"/>
    <s v="No"/>
    <s v="No"/>
    <s v="No"/>
    <s v="No"/>
    <s v="No"/>
    <s v="No"/>
    <s v="Yes"/>
    <x v="1"/>
    <s v="Yes"/>
    <n v="30"/>
    <x v="1"/>
    <n v="76.19"/>
    <n v="4927.87"/>
    <d v="2023-09-18T00:00:00"/>
    <x v="1"/>
    <s v="A"/>
  </r>
  <r>
    <n v="1197"/>
    <s v="Female"/>
    <x v="0"/>
    <s v="Yes"/>
    <s v="Yes"/>
    <s v="Yes"/>
    <s v="No"/>
    <s v="No"/>
    <s v="No"/>
    <s v="Yes"/>
    <s v="No"/>
    <s v="No"/>
    <s v="No"/>
    <s v="No"/>
    <x v="0"/>
    <s v="Yes"/>
    <n v="41"/>
    <x v="2"/>
    <n v="66.430000000000007"/>
    <n v="7615.74"/>
    <d v="2024-09-26T00:00:00"/>
    <x v="1"/>
    <s v="A"/>
  </r>
  <r>
    <n v="1198"/>
    <s v="Male"/>
    <x v="0"/>
    <s v="Yes"/>
    <s v="No"/>
    <s v="Yes"/>
    <s v="Yes"/>
    <s v="Fiber optic"/>
    <s v="No"/>
    <s v="No"/>
    <s v="Yes"/>
    <s v="No"/>
    <s v="No"/>
    <s v="No"/>
    <x v="1"/>
    <s v="Yes"/>
    <n v="8"/>
    <x v="2"/>
    <n v="24.07"/>
    <n v="3286.98"/>
    <d v="2023-06-30T00:00:00"/>
    <x v="1"/>
    <s v="A"/>
  </r>
  <r>
    <n v="1199"/>
    <s v="Male"/>
    <x v="1"/>
    <s v="No"/>
    <s v="No"/>
    <s v="No"/>
    <s v="No"/>
    <s v="DSL"/>
    <s v="Yes"/>
    <s v="No"/>
    <s v="Yes"/>
    <s v="No"/>
    <s v="No"/>
    <s v="No"/>
    <x v="0"/>
    <s v="Yes"/>
    <n v="29"/>
    <x v="3"/>
    <n v="58.36"/>
    <n v="4393.1499999999996"/>
    <d v="2022-07-24T00:00:00"/>
    <x v="1"/>
    <s v="A"/>
  </r>
  <r>
    <n v="1200"/>
    <s v="Male"/>
    <x v="0"/>
    <s v="No"/>
    <s v="No"/>
    <s v="Yes"/>
    <s v="Yes"/>
    <s v="Fiber optic"/>
    <s v="Yes"/>
    <s v="Yes"/>
    <s v="No"/>
    <s v="Yes"/>
    <s v="Yes"/>
    <s v="Yes"/>
    <x v="1"/>
    <s v="Yes"/>
    <n v="54"/>
    <x v="3"/>
    <n v="30.59"/>
    <n v="6794.25"/>
    <d v="2023-04-15T00:00:00"/>
    <x v="1"/>
    <s v="B"/>
  </r>
  <r>
    <n v="1201"/>
    <s v="Female"/>
    <x v="0"/>
    <s v="Yes"/>
    <s v="No"/>
    <s v="Yes"/>
    <s v="No"/>
    <s v="DSL"/>
    <s v="Yes"/>
    <s v="Yes"/>
    <s v="Yes"/>
    <s v="No"/>
    <s v="Yes"/>
    <s v="Yes"/>
    <x v="1"/>
    <s v="Yes"/>
    <n v="55"/>
    <x v="2"/>
    <n v="68.430000000000007"/>
    <n v="7950.19"/>
    <d v="2024-06-07T00:00:00"/>
    <x v="1"/>
    <s v="A"/>
  </r>
  <r>
    <n v="1202"/>
    <s v="Female"/>
    <x v="0"/>
    <s v="Yes"/>
    <s v="Yes"/>
    <s v="No"/>
    <s v="No"/>
    <s v="Fiber optic"/>
    <s v="Yes"/>
    <s v="No"/>
    <s v="No"/>
    <s v="No"/>
    <s v="Yes"/>
    <s v="Yes"/>
    <x v="1"/>
    <s v="Yes"/>
    <n v="5"/>
    <x v="3"/>
    <n v="21.04"/>
    <n v="2088.6799999999998"/>
    <d v="2024-09-20T00:00:00"/>
    <x v="1"/>
    <s v="A"/>
  </r>
  <r>
    <n v="1203"/>
    <s v="Female"/>
    <x v="0"/>
    <s v="Yes"/>
    <s v="Yes"/>
    <s v="Yes"/>
    <s v="Yes"/>
    <s v="Fiber optic"/>
    <s v="No"/>
    <s v="No"/>
    <s v="Yes"/>
    <s v="No"/>
    <s v="No"/>
    <s v="No"/>
    <x v="2"/>
    <s v="No"/>
    <n v="65"/>
    <x v="3"/>
    <n v="100.28"/>
    <n v="1270.8900000000001"/>
    <d v="2022-08-19T00:00:00"/>
    <x v="0"/>
    <s v="A"/>
  </r>
  <r>
    <n v="1204"/>
    <s v="Male"/>
    <x v="1"/>
    <s v="Yes"/>
    <s v="Yes"/>
    <s v="Yes"/>
    <s v="No"/>
    <s v="DSL"/>
    <s v="No"/>
    <s v="Yes"/>
    <s v="Yes"/>
    <s v="No"/>
    <s v="No"/>
    <s v="Yes"/>
    <x v="2"/>
    <s v="Yes"/>
    <n v="59"/>
    <x v="3"/>
    <n v="100.00525423728814"/>
    <n v="5900.31"/>
    <d v="2023-07-06T00:00:00"/>
    <x v="0"/>
    <s v="A"/>
  </r>
  <r>
    <n v="1205"/>
    <s v="Female"/>
    <x v="0"/>
    <s v="Yes"/>
    <s v="No"/>
    <s v="Yes"/>
    <s v="Yes"/>
    <s v="DSL"/>
    <s v="No"/>
    <s v="Yes"/>
    <s v="Yes"/>
    <s v="No"/>
    <s v="No"/>
    <s v="No"/>
    <x v="0"/>
    <s v="Yes"/>
    <n v="56"/>
    <x v="3"/>
    <n v="68.965714285714284"/>
    <n v="3862.08"/>
    <d v="2023-03-05T00:00:00"/>
    <x v="1"/>
    <s v="A"/>
  </r>
  <r>
    <n v="1206"/>
    <s v="Female"/>
    <x v="0"/>
    <s v="Yes"/>
    <s v="No"/>
    <s v="No"/>
    <s v="No"/>
    <s v="No"/>
    <s v="No"/>
    <s v="No"/>
    <s v="No"/>
    <s v="No"/>
    <s v="No"/>
    <s v="No"/>
    <x v="0"/>
    <s v="No"/>
    <n v="19"/>
    <x v="2"/>
    <n v="67.989999999999995"/>
    <n v="0"/>
    <d v="2020-02-03T00:00:00"/>
    <x v="0"/>
    <s v="A"/>
  </r>
  <r>
    <n v="1207"/>
    <s v="Male"/>
    <x v="0"/>
    <s v="Yes"/>
    <s v="No"/>
    <s v="No"/>
    <s v="No"/>
    <s v="Fiber optic"/>
    <s v="Yes"/>
    <s v="Yes"/>
    <s v="Yes"/>
    <s v="No"/>
    <s v="No"/>
    <s v="No"/>
    <x v="1"/>
    <s v="No"/>
    <n v="53"/>
    <x v="0"/>
    <n v="65.680000000000007"/>
    <n v="2297.7199999999998"/>
    <d v="2021-05-16T00:00:00"/>
    <x v="0"/>
    <s v="A"/>
  </r>
  <r>
    <n v="1208"/>
    <s v="Male"/>
    <x v="0"/>
    <s v="Yes"/>
    <s v="No"/>
    <s v="No"/>
    <s v="No"/>
    <s v="No"/>
    <s v="No"/>
    <s v="Yes"/>
    <s v="Yes"/>
    <s v="Yes"/>
    <s v="Yes"/>
    <s v="No"/>
    <x v="2"/>
    <s v="Yes"/>
    <n v="1"/>
    <x v="2"/>
    <n v="117.99"/>
    <n v="7966.04"/>
    <d v="2023-03-12T00:00:00"/>
    <x v="0"/>
    <s v="A"/>
  </r>
  <r>
    <n v="1209"/>
    <s v="Male"/>
    <x v="0"/>
    <s v="No"/>
    <s v="Yes"/>
    <s v="Yes"/>
    <s v="Yes"/>
    <s v="DSL"/>
    <s v="Yes"/>
    <s v="Yes"/>
    <s v="Yes"/>
    <s v="No"/>
    <s v="No"/>
    <s v="No"/>
    <x v="1"/>
    <s v="No"/>
    <n v="70"/>
    <x v="2"/>
    <n v="68.12"/>
    <n v="2915.56"/>
    <d v="2022-03-25T00:00:00"/>
    <x v="0"/>
    <s v="A"/>
  </r>
  <r>
    <n v="1210"/>
    <s v="Male"/>
    <x v="0"/>
    <s v="Yes"/>
    <s v="No"/>
    <s v="Yes"/>
    <s v="Yes"/>
    <s v="No"/>
    <s v="No"/>
    <s v="Yes"/>
    <s v="No"/>
    <s v="No"/>
    <s v="No"/>
    <s v="No"/>
    <x v="2"/>
    <s v="No"/>
    <n v="56"/>
    <x v="3"/>
    <n v="79.62"/>
    <n v="6645.32"/>
    <d v="2022-05-20T00:00:00"/>
    <x v="0"/>
    <s v="A"/>
  </r>
  <r>
    <n v="1211"/>
    <s v="Female"/>
    <x v="0"/>
    <s v="Yes"/>
    <s v="Yes"/>
    <s v="No"/>
    <s v="Yes"/>
    <s v="DSL"/>
    <s v="No"/>
    <s v="Yes"/>
    <s v="Yes"/>
    <s v="Yes"/>
    <s v="No"/>
    <s v="No"/>
    <x v="1"/>
    <s v="Yes"/>
    <n v="1"/>
    <x v="0"/>
    <n v="35.659999999999997"/>
    <n v="1441.23"/>
    <d v="2024-09-19T00:00:00"/>
    <x v="0"/>
    <s v="A"/>
  </r>
  <r>
    <n v="1212"/>
    <s v="Female"/>
    <x v="1"/>
    <s v="Yes"/>
    <s v="No"/>
    <s v="Yes"/>
    <s v="No"/>
    <s v="DSL"/>
    <s v="No"/>
    <s v="No"/>
    <s v="Yes"/>
    <s v="Yes"/>
    <s v="No"/>
    <s v="No"/>
    <x v="0"/>
    <s v="No"/>
    <n v="65"/>
    <x v="0"/>
    <n v="67.963692307692313"/>
    <n v="4417.6400000000003"/>
    <d v="2023-12-11T00:00:00"/>
    <x v="0"/>
    <s v="A"/>
  </r>
  <r>
    <n v="1213"/>
    <s v="Female"/>
    <x v="0"/>
    <s v="No"/>
    <s v="No"/>
    <s v="Yes"/>
    <s v="Yes"/>
    <s v="DSL"/>
    <s v="No"/>
    <s v="Yes"/>
    <s v="No"/>
    <s v="No"/>
    <s v="No"/>
    <s v="No"/>
    <x v="1"/>
    <s v="No"/>
    <n v="15"/>
    <x v="2"/>
    <n v="26.836666666666666"/>
    <n v="402.55"/>
    <d v="2024-09-03T00:00:00"/>
    <x v="1"/>
    <s v="A"/>
  </r>
  <r>
    <n v="1214"/>
    <s v="Female"/>
    <x v="0"/>
    <s v="No"/>
    <s v="No"/>
    <s v="Yes"/>
    <s v="Yes"/>
    <s v="Fiber optic"/>
    <s v="No"/>
    <s v="No"/>
    <s v="No"/>
    <s v="No"/>
    <s v="No"/>
    <s v="No"/>
    <x v="1"/>
    <s v="No"/>
    <n v="69"/>
    <x v="3"/>
    <n v="73.91"/>
    <n v="2690.15"/>
    <d v="2021-05-20T00:00:00"/>
    <x v="0"/>
    <s v="A"/>
  </r>
  <r>
    <n v="1215"/>
    <s v="Female"/>
    <x v="0"/>
    <s v="No"/>
    <s v="No"/>
    <s v="Yes"/>
    <s v="No"/>
    <s v="No"/>
    <s v="No"/>
    <s v="No"/>
    <s v="No"/>
    <s v="Yes"/>
    <s v="No"/>
    <s v="No"/>
    <x v="0"/>
    <s v="Yes"/>
    <n v="63"/>
    <x v="1"/>
    <n v="0"/>
    <n v="0"/>
    <d v="2023-08-17T00:00:00"/>
    <x v="0"/>
    <s v="A"/>
  </r>
  <r>
    <n v="1216"/>
    <s v="Female"/>
    <x v="1"/>
    <s v="No"/>
    <s v="Yes"/>
    <s v="Yes"/>
    <s v="No"/>
    <s v="Fiber optic"/>
    <s v="Yes"/>
    <s v="Yes"/>
    <s v="No"/>
    <s v="No"/>
    <s v="No"/>
    <s v="No"/>
    <x v="2"/>
    <s v="Yes"/>
    <n v="62"/>
    <x v="2"/>
    <n v="60.84"/>
    <n v="1782.03"/>
    <d v="2021-09-30T00:00:00"/>
    <x v="0"/>
    <s v="A"/>
  </r>
  <r>
    <n v="1217"/>
    <s v="Female"/>
    <x v="0"/>
    <s v="Yes"/>
    <s v="No"/>
    <s v="Yes"/>
    <s v="No"/>
    <s v="No"/>
    <s v="No"/>
    <s v="No"/>
    <s v="No"/>
    <s v="Yes"/>
    <s v="Yes"/>
    <s v="No"/>
    <x v="1"/>
    <s v="No"/>
    <n v="36"/>
    <x v="2"/>
    <n v="56.72"/>
    <n v="7788.3"/>
    <d v="2021-02-27T00:00:00"/>
    <x v="1"/>
    <s v="A"/>
  </r>
  <r>
    <n v="1218"/>
    <s v="Male"/>
    <x v="1"/>
    <s v="No"/>
    <s v="Yes"/>
    <s v="Yes"/>
    <s v="No"/>
    <s v="Fiber optic"/>
    <s v="Yes"/>
    <s v="No"/>
    <s v="No"/>
    <s v="Yes"/>
    <s v="No"/>
    <s v="No"/>
    <x v="0"/>
    <s v="Yes"/>
    <n v="0"/>
    <x v="0"/>
    <n v="34.96"/>
    <n v="2534.58"/>
    <d v="2023-01-06T00:00:00"/>
    <x v="0"/>
    <s v="A"/>
  </r>
  <r>
    <n v="1219"/>
    <s v="Female"/>
    <x v="0"/>
    <s v="No"/>
    <s v="No"/>
    <s v="Yes"/>
    <s v="No"/>
    <s v="Fiber optic"/>
    <s v="No"/>
    <s v="Yes"/>
    <s v="No"/>
    <s v="No"/>
    <s v="Yes"/>
    <s v="No"/>
    <x v="1"/>
    <s v="Yes"/>
    <n v="34"/>
    <x v="0"/>
    <n v="119.82"/>
    <n v="7065.54"/>
    <d v="2022-06-01T00:00:00"/>
    <x v="0"/>
    <s v="A"/>
  </r>
  <r>
    <n v="1220"/>
    <s v="Female"/>
    <x v="0"/>
    <s v="No"/>
    <s v="No"/>
    <s v="No"/>
    <s v="No"/>
    <s v="Fiber optic"/>
    <s v="Yes"/>
    <s v="No"/>
    <s v="No"/>
    <s v="No"/>
    <s v="Yes"/>
    <s v="No"/>
    <x v="0"/>
    <s v="No"/>
    <n v="69"/>
    <x v="2"/>
    <n v="52.67"/>
    <n v="5098.8500000000004"/>
    <d v="2024-09-27T00:00:00"/>
    <x v="0"/>
    <s v="A"/>
  </r>
  <r>
    <n v="1221"/>
    <s v="Female"/>
    <x v="1"/>
    <s v="No"/>
    <s v="No"/>
    <s v="Yes"/>
    <s v="Yes"/>
    <s v="No"/>
    <s v="No"/>
    <s v="No"/>
    <s v="No"/>
    <s v="No"/>
    <s v="No"/>
    <s v="Yes"/>
    <x v="0"/>
    <s v="No"/>
    <n v="59"/>
    <x v="2"/>
    <n v="76.37"/>
    <n v="7277.19"/>
    <d v="2023-01-06T00:00:00"/>
    <x v="0"/>
    <s v="A"/>
  </r>
  <r>
    <n v="1222"/>
    <s v="Male"/>
    <x v="1"/>
    <s v="No"/>
    <s v="No"/>
    <s v="Yes"/>
    <s v="No"/>
    <s v="DSL"/>
    <s v="Yes"/>
    <s v="No"/>
    <s v="No"/>
    <s v="Yes"/>
    <s v="No"/>
    <s v="No"/>
    <x v="1"/>
    <s v="No"/>
    <n v="70"/>
    <x v="2"/>
    <n v="20.8"/>
    <n v="6724.79"/>
    <d v="2024-08-29T00:00:00"/>
    <x v="0"/>
    <s v="A"/>
  </r>
  <r>
    <n v="1223"/>
    <s v="Male"/>
    <x v="0"/>
    <s v="No"/>
    <s v="No"/>
    <s v="Yes"/>
    <s v="No"/>
    <s v="No"/>
    <s v="No"/>
    <s v="No"/>
    <s v="No"/>
    <s v="No"/>
    <s v="No"/>
    <s v="No"/>
    <x v="1"/>
    <s v="No"/>
    <n v="20"/>
    <x v="0"/>
    <n v="24.22"/>
    <n v="2958.63"/>
    <d v="2020-02-09T00:00:00"/>
    <x v="0"/>
    <s v="A"/>
  </r>
  <r>
    <n v="1224"/>
    <s v="Male"/>
    <x v="1"/>
    <s v="No"/>
    <s v="Yes"/>
    <s v="Yes"/>
    <s v="Yes"/>
    <s v="Fiber optic"/>
    <s v="No"/>
    <s v="Yes"/>
    <s v="No"/>
    <s v="No"/>
    <s v="No"/>
    <s v="No"/>
    <x v="0"/>
    <s v="No"/>
    <n v="50"/>
    <x v="2"/>
    <n v="116.27"/>
    <n v="2856.9"/>
    <d v="2024-04-29T00:00:00"/>
    <x v="0"/>
    <s v="B"/>
  </r>
  <r>
    <n v="1225"/>
    <s v="Female"/>
    <x v="0"/>
    <s v="No"/>
    <s v="Yes"/>
    <s v="Yes"/>
    <s v="Yes"/>
    <s v="No"/>
    <s v="No"/>
    <s v="No"/>
    <s v="No"/>
    <s v="Yes"/>
    <s v="Yes"/>
    <s v="No"/>
    <x v="0"/>
    <s v="Yes"/>
    <n v="56"/>
    <x v="2"/>
    <n v="92.36"/>
    <n v="2025.18"/>
    <d v="2020-05-25T00:00:00"/>
    <x v="0"/>
    <s v="A"/>
  </r>
  <r>
    <n v="1226"/>
    <s v="Female"/>
    <x v="0"/>
    <s v="Yes"/>
    <s v="No"/>
    <s v="Yes"/>
    <s v="No"/>
    <s v="Fiber optic"/>
    <s v="No"/>
    <s v="No"/>
    <s v="No"/>
    <s v="No"/>
    <s v="No"/>
    <s v="No"/>
    <x v="2"/>
    <s v="No"/>
    <n v="25"/>
    <x v="3"/>
    <n v="108.33"/>
    <n v="4711.95"/>
    <d v="2020-03-11T00:00:00"/>
    <x v="0"/>
    <s v="A"/>
  </r>
  <r>
    <n v="1227"/>
    <s v="Male"/>
    <x v="0"/>
    <s v="Yes"/>
    <s v="No"/>
    <s v="Yes"/>
    <s v="Yes"/>
    <s v="DSL"/>
    <s v="No"/>
    <s v="No"/>
    <s v="No"/>
    <s v="No"/>
    <s v="No"/>
    <s v="Yes"/>
    <x v="1"/>
    <s v="Yes"/>
    <n v="145"/>
    <x v="2"/>
    <n v="35.868137931034482"/>
    <n v="5200.88"/>
    <d v="2023-02-22T00:00:00"/>
    <x v="0"/>
    <s v="A"/>
  </r>
  <r>
    <n v="1228"/>
    <s v="Male"/>
    <x v="0"/>
    <s v="Yes"/>
    <s v="No"/>
    <s v="Yes"/>
    <s v="No"/>
    <s v="DSL"/>
    <s v="No"/>
    <s v="Yes"/>
    <s v="Yes"/>
    <s v="No"/>
    <s v="Yes"/>
    <s v="Yes"/>
    <x v="2"/>
    <s v="No"/>
    <n v="35"/>
    <x v="2"/>
    <n v="103.91"/>
    <n v="7646.38"/>
    <d v="2021-04-25T00:00:00"/>
    <x v="0"/>
    <s v="A"/>
  </r>
  <r>
    <n v="1229"/>
    <s v="Male"/>
    <x v="0"/>
    <s v="Yes"/>
    <s v="Yes"/>
    <s v="Yes"/>
    <s v="Yes"/>
    <s v="DSL"/>
    <s v="Yes"/>
    <s v="No"/>
    <s v="No"/>
    <s v="Yes"/>
    <s v="No"/>
    <s v="Yes"/>
    <x v="1"/>
    <s v="No"/>
    <n v="20"/>
    <x v="1"/>
    <n v="82.76"/>
    <n v="5776.5"/>
    <d v="2021-07-29T00:00:00"/>
    <x v="0"/>
    <s v="A"/>
  </r>
  <r>
    <n v="1230"/>
    <s v="Male"/>
    <x v="1"/>
    <s v="No"/>
    <s v="No"/>
    <s v="Yes"/>
    <s v="Yes"/>
    <s v="DSL"/>
    <s v="Yes"/>
    <s v="No"/>
    <s v="No"/>
    <s v="No"/>
    <s v="Yes"/>
    <s v="No"/>
    <x v="2"/>
    <s v="No"/>
    <n v="36"/>
    <x v="2"/>
    <n v="110.37"/>
    <n v="3748.93"/>
    <d v="2020-09-01T00:00:00"/>
    <x v="0"/>
    <s v="A"/>
  </r>
  <r>
    <n v="1231"/>
    <s v="Male"/>
    <x v="0"/>
    <s v="Yes"/>
    <s v="No"/>
    <s v="Yes"/>
    <s v="No"/>
    <s v="No"/>
    <s v="No"/>
    <s v="No"/>
    <s v="No"/>
    <s v="Yes"/>
    <s v="No"/>
    <s v="No"/>
    <x v="0"/>
    <s v="No"/>
    <n v="4"/>
    <x v="1"/>
    <n v="975.82500000000005"/>
    <n v="3903.3"/>
    <d v="2023-03-29T00:00:00"/>
    <x v="0"/>
    <s v="A"/>
  </r>
  <r>
    <n v="1232"/>
    <s v="Female"/>
    <x v="0"/>
    <s v="No"/>
    <s v="Yes"/>
    <s v="Yes"/>
    <s v="No"/>
    <s v="Fiber optic"/>
    <s v="No"/>
    <s v="Yes"/>
    <s v="Yes"/>
    <s v="No"/>
    <s v="Yes"/>
    <s v="Yes"/>
    <x v="1"/>
    <s v="Yes"/>
    <n v="13"/>
    <x v="0"/>
    <n v="113.93"/>
    <n v="4171.76"/>
    <d v="2020-02-17T00:00:00"/>
    <x v="0"/>
    <s v="A"/>
  </r>
  <r>
    <n v="1233"/>
    <s v="Female"/>
    <x v="0"/>
    <s v="No"/>
    <s v="Yes"/>
    <s v="Yes"/>
    <s v="No"/>
    <s v="Fiber optic"/>
    <s v="No"/>
    <s v="No"/>
    <s v="No"/>
    <s v="Yes"/>
    <s v="No"/>
    <s v="No"/>
    <x v="0"/>
    <s v="No"/>
    <n v="50"/>
    <x v="0"/>
    <n v="32.752800000000001"/>
    <n v="1637.64"/>
    <d v="2024-01-19T00:00:00"/>
    <x v="0"/>
    <s v="A"/>
  </r>
  <r>
    <n v="1234"/>
    <s v="Female"/>
    <x v="1"/>
    <s v="No"/>
    <s v="No"/>
    <s v="Yes"/>
    <s v="No"/>
    <s v="Fiber optic"/>
    <s v="No"/>
    <s v="No"/>
    <s v="No"/>
    <s v="No"/>
    <s v="No"/>
    <s v="No"/>
    <x v="1"/>
    <s v="No"/>
    <n v="48"/>
    <x v="1"/>
    <n v="115.79"/>
    <n v="1486.45"/>
    <d v="2022-11-12T00:00:00"/>
    <x v="0"/>
    <s v="A"/>
  </r>
  <r>
    <n v="1235"/>
    <s v="Male"/>
    <x v="0"/>
    <s v="Yes"/>
    <s v="No"/>
    <s v="No"/>
    <s v="Yes"/>
    <s v="DSL"/>
    <s v="Yes"/>
    <s v="Yes"/>
    <s v="Yes"/>
    <s v="No"/>
    <s v="No"/>
    <s v="No"/>
    <x v="1"/>
    <s v="Yes"/>
    <n v="7"/>
    <x v="0"/>
    <n v="32.619999999999997"/>
    <n v="5205.37"/>
    <d v="2024-05-28T00:00:00"/>
    <x v="0"/>
    <s v="A"/>
  </r>
  <r>
    <n v="1236"/>
    <s v="Male"/>
    <x v="0"/>
    <s v="Yes"/>
    <s v="No"/>
    <s v="Yes"/>
    <s v="Yes"/>
    <s v="No"/>
    <s v="No"/>
    <s v="No"/>
    <s v="No"/>
    <s v="No"/>
    <s v="No"/>
    <s v="Yes"/>
    <x v="2"/>
    <s v="Yes"/>
    <n v="36"/>
    <x v="2"/>
    <n v="35.54"/>
    <n v="1412.14"/>
    <d v="2023-08-17T00:00:00"/>
    <x v="0"/>
    <s v="A"/>
  </r>
  <r>
    <n v="1237"/>
    <s v="Female"/>
    <x v="1"/>
    <s v="Yes"/>
    <s v="No"/>
    <s v="Yes"/>
    <s v="Yes"/>
    <s v="Fiber optic"/>
    <s v="No"/>
    <s v="No"/>
    <s v="No"/>
    <s v="No"/>
    <s v="No"/>
    <s v="No"/>
    <x v="1"/>
    <s v="No"/>
    <n v="42"/>
    <x v="3"/>
    <n v="82.86"/>
    <n v="1091.94"/>
    <d v="2022-02-05T00:00:00"/>
    <x v="0"/>
    <s v="A"/>
  </r>
  <r>
    <n v="1238"/>
    <s v="Female"/>
    <x v="0"/>
    <s v="No"/>
    <s v="No"/>
    <s v="Yes"/>
    <s v="No"/>
    <s v="No"/>
    <s v="Yes"/>
    <s v="No"/>
    <s v="Yes"/>
    <s v="Yes"/>
    <s v="No"/>
    <s v="No"/>
    <x v="2"/>
    <s v="No"/>
    <n v="14"/>
    <x v="2"/>
    <n v="56.56"/>
    <n v="7003.47"/>
    <d v="2024-03-15T00:00:00"/>
    <x v="0"/>
    <s v="A"/>
  </r>
  <r>
    <n v="1239"/>
    <s v="Male"/>
    <x v="0"/>
    <s v="Yes"/>
    <s v="Yes"/>
    <s v="No"/>
    <s v="Yes"/>
    <s v="Fiber optic"/>
    <s v="Yes"/>
    <s v="Yes"/>
    <s v="No"/>
    <s v="No"/>
    <s v="Yes"/>
    <s v="Yes"/>
    <x v="1"/>
    <s v="No"/>
    <n v="21"/>
    <x v="2"/>
    <n v="66.2"/>
    <n v="5798.58"/>
    <d v="2021-12-03T00:00:00"/>
    <x v="0"/>
    <s v="A"/>
  </r>
  <r>
    <n v="1240"/>
    <s v="Female"/>
    <x v="0"/>
    <s v="No"/>
    <s v="Yes"/>
    <s v="Yes"/>
    <s v="Yes"/>
    <s v="DSL"/>
    <s v="Yes"/>
    <s v="No"/>
    <s v="No"/>
    <s v="No"/>
    <s v="No"/>
    <s v="Yes"/>
    <x v="2"/>
    <s v="Yes"/>
    <n v="50"/>
    <x v="2"/>
    <n v="60.191400000000002"/>
    <n v="3009.57"/>
    <d v="2021-05-28T00:00:00"/>
    <x v="0"/>
    <s v="A"/>
  </r>
  <r>
    <n v="1241"/>
    <s v="Male"/>
    <x v="1"/>
    <s v="Yes"/>
    <s v="Yes"/>
    <s v="Yes"/>
    <s v="No"/>
    <s v="Fiber optic"/>
    <s v="Yes"/>
    <s v="Yes"/>
    <s v="Yes"/>
    <s v="No"/>
    <s v="No"/>
    <s v="No"/>
    <x v="1"/>
    <s v="Yes"/>
    <n v="2"/>
    <x v="1"/>
    <n v="30.05"/>
    <n v="3641.01"/>
    <d v="2024-12-11T00:00:00"/>
    <x v="0"/>
    <s v="A"/>
  </r>
  <r>
    <n v="1242"/>
    <s v="Female"/>
    <x v="0"/>
    <s v="No"/>
    <s v="No"/>
    <s v="Yes"/>
    <s v="Yes"/>
    <s v="DSL"/>
    <s v="No"/>
    <s v="No"/>
    <s v="No"/>
    <s v="Yes"/>
    <s v="Yes"/>
    <s v="Yes"/>
    <x v="1"/>
    <s v="Yes"/>
    <n v="58"/>
    <x v="2"/>
    <n v="34.619999999999997"/>
    <n v="2528.87"/>
    <d v="2021-06-03T00:00:00"/>
    <x v="0"/>
    <s v="A"/>
  </r>
  <r>
    <n v="1243"/>
    <s v="Male"/>
    <x v="0"/>
    <s v="No"/>
    <s v="No"/>
    <s v="Yes"/>
    <s v="No"/>
    <s v="No"/>
    <s v="No"/>
    <s v="No"/>
    <s v="Yes"/>
    <s v="No"/>
    <s v="No"/>
    <s v="No"/>
    <x v="0"/>
    <s v="No"/>
    <n v="20"/>
    <x v="0"/>
    <n v="61.17"/>
    <n v="1867.74"/>
    <d v="2021-02-19T00:00:00"/>
    <x v="1"/>
    <s v="A"/>
  </r>
  <r>
    <n v="1244"/>
    <s v="Male"/>
    <x v="0"/>
    <s v="Yes"/>
    <s v="No"/>
    <s v="Yes"/>
    <s v="Yes"/>
    <s v="No"/>
    <s v="No"/>
    <s v="Yes"/>
    <s v="No"/>
    <s v="Yes"/>
    <s v="No"/>
    <s v="No"/>
    <x v="1"/>
    <s v="No"/>
    <n v="29"/>
    <x v="0"/>
    <n v="113.43"/>
    <n v="2812"/>
    <d v="2022-06-18T00:00:00"/>
    <x v="1"/>
    <s v="A"/>
  </r>
  <r>
    <n v="1245"/>
    <s v="Female"/>
    <x v="0"/>
    <s v="Yes"/>
    <s v="Yes"/>
    <s v="Yes"/>
    <s v="No"/>
    <s v="DSL"/>
    <s v="Yes"/>
    <s v="Yes"/>
    <s v="Yes"/>
    <s v="No"/>
    <s v="Yes"/>
    <s v="Yes"/>
    <x v="1"/>
    <s v="No"/>
    <n v="11"/>
    <x v="0"/>
    <n v="111.9"/>
    <n v="4437.3599999999997"/>
    <d v="2024-06-24T00:00:00"/>
    <x v="1"/>
    <s v="B"/>
  </r>
  <r>
    <n v="1246"/>
    <s v="Female"/>
    <x v="0"/>
    <s v="Yes"/>
    <s v="Yes"/>
    <s v="Yes"/>
    <s v="No"/>
    <s v="DSL"/>
    <s v="No"/>
    <s v="No"/>
    <s v="No"/>
    <s v="No"/>
    <s v="Yes"/>
    <s v="Yes"/>
    <x v="1"/>
    <s v="No"/>
    <n v="15"/>
    <x v="0"/>
    <n v="53.36"/>
    <n v="439.82"/>
    <d v="2022-08-10T00:00:00"/>
    <x v="1"/>
    <s v="A"/>
  </r>
  <r>
    <n v="1247"/>
    <s v="Female"/>
    <x v="1"/>
    <s v="Yes"/>
    <s v="Yes"/>
    <s v="Yes"/>
    <s v="Yes"/>
    <s v="No"/>
    <s v="No"/>
    <s v="No"/>
    <s v="No"/>
    <s v="No"/>
    <s v="Yes"/>
    <s v="Yes"/>
    <x v="2"/>
    <s v="Yes"/>
    <n v="32"/>
    <x v="0"/>
    <n v="116.41"/>
    <n v="1227.23"/>
    <d v="2020-01-19T00:00:00"/>
    <x v="1"/>
    <s v="A"/>
  </r>
  <r>
    <n v="1248"/>
    <s v="Male"/>
    <x v="0"/>
    <s v="No"/>
    <s v="Yes"/>
    <s v="Yes"/>
    <s v="No"/>
    <s v="No"/>
    <s v="No"/>
    <s v="Yes"/>
    <s v="No"/>
    <s v="No"/>
    <s v="Yes"/>
    <s v="No"/>
    <x v="1"/>
    <s v="No"/>
    <n v="53"/>
    <x v="3"/>
    <n v="59.99"/>
    <n v="1014.62"/>
    <d v="2020-02-13T00:00:00"/>
    <x v="1"/>
    <s v="A"/>
  </r>
  <r>
    <n v="1249"/>
    <s v="Female"/>
    <x v="0"/>
    <s v="Yes"/>
    <s v="Yes"/>
    <s v="No"/>
    <s v="Yes"/>
    <s v="No"/>
    <s v="No"/>
    <s v="No"/>
    <s v="No"/>
    <s v="No"/>
    <s v="Yes"/>
    <s v="No"/>
    <x v="1"/>
    <s v="Yes"/>
    <n v="17"/>
    <x v="2"/>
    <n v="33.72"/>
    <n v="2688.83"/>
    <d v="2024-07-21T00:00:00"/>
    <x v="1"/>
    <s v="A"/>
  </r>
  <r>
    <n v="1250"/>
    <s v="Female"/>
    <x v="0"/>
    <s v="Yes"/>
    <s v="No"/>
    <s v="Yes"/>
    <s v="No"/>
    <s v="DSL"/>
    <s v="Yes"/>
    <s v="No"/>
    <s v="Yes"/>
    <s v="No"/>
    <s v="No"/>
    <s v="No"/>
    <x v="1"/>
    <s v="Yes"/>
    <n v="47"/>
    <x v="1"/>
    <n v="41.13"/>
    <n v="2398.6999999999998"/>
    <d v="2021-12-23T00:00:00"/>
    <x v="1"/>
    <s v="A"/>
  </r>
  <r>
    <n v="1251"/>
    <s v="Female"/>
    <x v="0"/>
    <s v="Yes"/>
    <s v="No"/>
    <s v="Yes"/>
    <s v="No"/>
    <s v="No"/>
    <s v="No"/>
    <s v="Yes"/>
    <s v="Yes"/>
    <s v="Yes"/>
    <s v="No"/>
    <s v="No"/>
    <x v="0"/>
    <s v="No"/>
    <n v="25"/>
    <x v="2"/>
    <n v="30.99"/>
    <n v="1023.06"/>
    <d v="2024-05-28T00:00:00"/>
    <x v="1"/>
    <s v="A"/>
  </r>
  <r>
    <n v="1252"/>
    <s v="Male"/>
    <x v="0"/>
    <s v="No"/>
    <s v="No"/>
    <s v="Yes"/>
    <s v="No"/>
    <s v="DSL"/>
    <s v="No"/>
    <s v="No"/>
    <s v="Yes"/>
    <s v="No"/>
    <s v="No"/>
    <s v="Yes"/>
    <x v="1"/>
    <s v="No"/>
    <n v="37"/>
    <x v="2"/>
    <n v="114.57540540540541"/>
    <n v="4239.29"/>
    <d v="2024-09-09T00:00:00"/>
    <x v="1"/>
    <s v="A"/>
  </r>
  <r>
    <n v="1253"/>
    <s v="Female"/>
    <x v="0"/>
    <s v="No"/>
    <s v="No"/>
    <s v="Yes"/>
    <s v="No"/>
    <s v="Fiber optic"/>
    <s v="Yes"/>
    <s v="Yes"/>
    <s v="No"/>
    <s v="No"/>
    <s v="Yes"/>
    <s v="No"/>
    <x v="2"/>
    <s v="No"/>
    <n v="51"/>
    <x v="0"/>
    <n v="44.19"/>
    <n v="7077.48"/>
    <d v="2022-10-24T00:00:00"/>
    <x v="1"/>
    <s v="A"/>
  </r>
  <r>
    <n v="1254"/>
    <s v="Female"/>
    <x v="0"/>
    <s v="No"/>
    <s v="No"/>
    <s v="Yes"/>
    <s v="No"/>
    <s v="Fiber optic"/>
    <s v="No"/>
    <s v="Yes"/>
    <s v="No"/>
    <s v="No"/>
    <s v="Yes"/>
    <s v="No"/>
    <x v="1"/>
    <s v="No"/>
    <n v="17"/>
    <x v="2"/>
    <n v="78.14823529411764"/>
    <n v="1328.52"/>
    <d v="2020-12-30T00:00:00"/>
    <x v="1"/>
    <s v="B"/>
  </r>
  <r>
    <n v="1255"/>
    <s v="Female"/>
    <x v="0"/>
    <s v="Yes"/>
    <s v="No"/>
    <s v="Yes"/>
    <s v="No"/>
    <s v="No"/>
    <s v="Yes"/>
    <s v="No"/>
    <s v="Yes"/>
    <s v="Yes"/>
    <s v="Yes"/>
    <s v="Yes"/>
    <x v="1"/>
    <s v="No"/>
    <n v="27"/>
    <x v="2"/>
    <n v="32.28"/>
    <n v="1198.3800000000001"/>
    <d v="2021-08-16T00:00:00"/>
    <x v="1"/>
    <s v="A"/>
  </r>
  <r>
    <n v="1256"/>
    <s v="Male"/>
    <x v="0"/>
    <s v="Yes"/>
    <s v="No"/>
    <s v="Yes"/>
    <s v="Yes"/>
    <s v="DSL"/>
    <s v="Yes"/>
    <s v="Yes"/>
    <s v="No"/>
    <s v="No"/>
    <s v="Yes"/>
    <s v="No"/>
    <x v="1"/>
    <s v="No"/>
    <n v="8"/>
    <x v="0"/>
    <n v="58.47"/>
    <n v="6118.9"/>
    <d v="2021-05-17T00:00:00"/>
    <x v="1"/>
    <s v="A"/>
  </r>
  <r>
    <n v="1257"/>
    <s v="Female"/>
    <x v="0"/>
    <s v="Yes"/>
    <s v="No"/>
    <s v="Yes"/>
    <s v="Yes"/>
    <s v="DSL"/>
    <s v="No"/>
    <s v="Yes"/>
    <s v="No"/>
    <s v="No"/>
    <s v="Yes"/>
    <s v="No"/>
    <x v="0"/>
    <s v="Yes"/>
    <n v="32"/>
    <x v="0"/>
    <n v="61.2"/>
    <n v="4226.95"/>
    <d v="2024-12-14T00:00:00"/>
    <x v="1"/>
    <s v="A"/>
  </r>
  <r>
    <n v="1258"/>
    <s v="Female"/>
    <x v="0"/>
    <s v="Yes"/>
    <s v="No"/>
    <s v="Yes"/>
    <s v="No"/>
    <s v="Fiber optic"/>
    <s v="No"/>
    <s v="Yes"/>
    <s v="Yes"/>
    <s v="No"/>
    <s v="No"/>
    <s v="No"/>
    <x v="0"/>
    <s v="No"/>
    <n v="21"/>
    <x v="1"/>
    <n v="97.76"/>
    <n v="6710.13"/>
    <d v="2022-06-28T00:00:00"/>
    <x v="1"/>
    <s v="A"/>
  </r>
  <r>
    <n v="1259"/>
    <s v="Female"/>
    <x v="1"/>
    <s v="Yes"/>
    <s v="Yes"/>
    <s v="Yes"/>
    <s v="Yes"/>
    <s v="No"/>
    <s v="No"/>
    <s v="No"/>
    <s v="No"/>
    <s v="No"/>
    <s v="No"/>
    <s v="Yes"/>
    <x v="1"/>
    <s v="No"/>
    <n v="71"/>
    <x v="0"/>
    <n v="26.36"/>
    <n v="4622.12"/>
    <d v="2024-03-04T00:00:00"/>
    <x v="1"/>
    <s v="A"/>
  </r>
  <r>
    <n v="1260"/>
    <s v="Female"/>
    <x v="1"/>
    <s v="No"/>
    <s v="No"/>
    <s v="No"/>
    <s v="No"/>
    <s v="DSL"/>
    <s v="No"/>
    <s v="Yes"/>
    <s v="No"/>
    <s v="Yes"/>
    <s v="Yes"/>
    <s v="No"/>
    <x v="1"/>
    <s v="No"/>
    <n v="2"/>
    <x v="3"/>
    <n v="106.29"/>
    <n v="4221.5200000000004"/>
    <d v="2023-11-21T00:00:00"/>
    <x v="1"/>
    <s v="A"/>
  </r>
  <r>
    <n v="1261"/>
    <s v="Male"/>
    <x v="0"/>
    <s v="No"/>
    <s v="No"/>
    <s v="Yes"/>
    <s v="No"/>
    <s v="No"/>
    <s v="No"/>
    <s v="Yes"/>
    <s v="No"/>
    <s v="No"/>
    <s v="Yes"/>
    <s v="Yes"/>
    <x v="1"/>
    <s v="Yes"/>
    <n v="7"/>
    <x v="2"/>
    <n v="117.06"/>
    <n v="4845.74"/>
    <d v="2023-08-20T00:00:00"/>
    <x v="1"/>
    <s v="A"/>
  </r>
  <r>
    <n v="1262"/>
    <s v="Male"/>
    <x v="0"/>
    <s v="No"/>
    <s v="No"/>
    <s v="Yes"/>
    <s v="Yes"/>
    <s v="No"/>
    <s v="No"/>
    <s v="No"/>
    <s v="No"/>
    <s v="No"/>
    <s v="No"/>
    <s v="No"/>
    <x v="1"/>
    <s v="No"/>
    <n v="60"/>
    <x v="2"/>
    <n v="90.36"/>
    <n v="3062.97"/>
    <d v="2023-05-07T00:00:00"/>
    <x v="1"/>
    <s v="A"/>
  </r>
  <r>
    <n v="1263"/>
    <s v="Male"/>
    <x v="0"/>
    <s v="No"/>
    <s v="No"/>
    <s v="Yes"/>
    <s v="No"/>
    <s v="Fiber optic"/>
    <s v="Yes"/>
    <s v="No"/>
    <s v="No"/>
    <s v="Yes"/>
    <s v="Yes"/>
    <s v="Yes"/>
    <x v="1"/>
    <s v="Yes"/>
    <n v="30"/>
    <x v="0"/>
    <n v="61.9"/>
    <n v="1520.44"/>
    <d v="2021-01-09T00:00:00"/>
    <x v="1"/>
    <s v="A"/>
  </r>
  <r>
    <n v="1264"/>
    <s v="Male"/>
    <x v="1"/>
    <s v="Yes"/>
    <s v="No"/>
    <s v="Yes"/>
    <s v="No"/>
    <s v="DSL"/>
    <s v="No"/>
    <s v="Yes"/>
    <s v="No"/>
    <s v="No"/>
    <s v="Yes"/>
    <s v="No"/>
    <x v="1"/>
    <s v="Yes"/>
    <n v="44"/>
    <x v="2"/>
    <n v="58.49"/>
    <n v="0"/>
    <d v="2024-02-05T00:00:00"/>
    <x v="1"/>
    <s v="A"/>
  </r>
  <r>
    <n v="1265"/>
    <s v="Female"/>
    <x v="1"/>
    <s v="Yes"/>
    <s v="No"/>
    <s v="No"/>
    <s v="Yes"/>
    <s v="Fiber optic"/>
    <s v="No"/>
    <s v="Yes"/>
    <s v="No"/>
    <s v="No"/>
    <s v="No"/>
    <s v="No"/>
    <x v="0"/>
    <s v="No"/>
    <n v="51"/>
    <x v="2"/>
    <n v="38.74"/>
    <n v="3022.77"/>
    <d v="2023-08-07T00:00:00"/>
    <x v="1"/>
    <s v="A"/>
  </r>
  <r>
    <n v="1266"/>
    <s v="Male"/>
    <x v="0"/>
    <s v="No"/>
    <s v="Yes"/>
    <s v="Yes"/>
    <s v="No"/>
    <s v="DSL"/>
    <s v="No"/>
    <s v="No"/>
    <s v="No"/>
    <s v="No"/>
    <s v="Yes"/>
    <s v="Yes"/>
    <x v="0"/>
    <s v="Yes"/>
    <n v="6"/>
    <x v="3"/>
    <n v="59.2"/>
    <n v="1193.67"/>
    <d v="2021-08-23T00:00:00"/>
    <x v="1"/>
    <s v="A"/>
  </r>
  <r>
    <n v="1267"/>
    <s v="Female"/>
    <x v="0"/>
    <s v="No"/>
    <s v="No"/>
    <s v="Yes"/>
    <s v="Yes"/>
    <s v="DSL"/>
    <s v="No"/>
    <s v="Yes"/>
    <s v="No"/>
    <s v="Yes"/>
    <s v="No"/>
    <s v="No"/>
    <x v="2"/>
    <s v="No"/>
    <n v="5"/>
    <x v="1"/>
    <n v="45.92"/>
    <n v="7826.68"/>
    <d v="2021-02-19T00:00:00"/>
    <x v="1"/>
    <s v="A"/>
  </r>
  <r>
    <n v="1268"/>
    <s v="Male"/>
    <x v="0"/>
    <s v="No"/>
    <s v="No"/>
    <s v="Yes"/>
    <s v="Yes"/>
    <s v="No"/>
    <s v="Yes"/>
    <s v="Yes"/>
    <s v="No"/>
    <s v="Yes"/>
    <s v="No"/>
    <s v="No"/>
    <x v="0"/>
    <s v="Yes"/>
    <n v="36"/>
    <x v="1"/>
    <n v="75.489999999999995"/>
    <n v="3677.42"/>
    <d v="2024-01-25T00:00:00"/>
    <x v="1"/>
    <s v="A"/>
  </r>
  <r>
    <n v="1269"/>
    <s v="Female"/>
    <x v="0"/>
    <s v="No"/>
    <s v="Yes"/>
    <s v="Yes"/>
    <s v="No"/>
    <s v="DSL"/>
    <s v="No"/>
    <s v="No"/>
    <s v="No"/>
    <s v="No"/>
    <s v="No"/>
    <s v="No"/>
    <x v="1"/>
    <s v="Yes"/>
    <n v="16"/>
    <x v="0"/>
    <n v="47.16"/>
    <n v="2534.42"/>
    <d v="2023-10-09T00:00:00"/>
    <x v="1"/>
    <s v="A"/>
  </r>
  <r>
    <n v="1270"/>
    <s v="Male"/>
    <x v="0"/>
    <s v="Yes"/>
    <s v="Yes"/>
    <s v="Yes"/>
    <s v="No"/>
    <s v="DSL"/>
    <s v="No"/>
    <s v="No"/>
    <s v="No"/>
    <s v="Yes"/>
    <s v="No"/>
    <s v="No"/>
    <x v="0"/>
    <s v="Yes"/>
    <n v="37"/>
    <x v="1"/>
    <n v="91.95"/>
    <n v="6216.35"/>
    <d v="2020-07-04T00:00:00"/>
    <x v="1"/>
    <s v="A"/>
  </r>
  <r>
    <n v="1271"/>
    <s v="Male"/>
    <x v="0"/>
    <s v="No"/>
    <s v="No"/>
    <s v="Yes"/>
    <s v="Yes"/>
    <s v="DSL"/>
    <s v="No"/>
    <s v="No"/>
    <s v="Yes"/>
    <s v="No"/>
    <s v="No"/>
    <s v="No"/>
    <x v="0"/>
    <s v="No"/>
    <n v="28"/>
    <x v="0"/>
    <n v="82.27"/>
    <n v="2719.5"/>
    <d v="2020-05-01T00:00:00"/>
    <x v="1"/>
    <s v="A"/>
  </r>
  <r>
    <n v="1272"/>
    <s v="Male"/>
    <x v="1"/>
    <s v="No"/>
    <s v="No"/>
    <s v="Yes"/>
    <s v="Yes"/>
    <s v="No"/>
    <s v="Yes"/>
    <s v="Yes"/>
    <s v="No"/>
    <s v="No"/>
    <s v="Yes"/>
    <s v="No"/>
    <x v="2"/>
    <s v="Yes"/>
    <n v="32"/>
    <x v="2"/>
    <n v="111.25"/>
    <n v="127.95"/>
    <d v="2022-10-18T00:00:00"/>
    <x v="1"/>
    <s v="A"/>
  </r>
  <r>
    <n v="1273"/>
    <s v="Male"/>
    <x v="1"/>
    <s v="Yes"/>
    <s v="No"/>
    <s v="Yes"/>
    <s v="No"/>
    <s v="Fiber optic"/>
    <s v="Yes"/>
    <s v="No"/>
    <s v="No"/>
    <s v="Yes"/>
    <s v="No"/>
    <s v="No"/>
    <x v="0"/>
    <s v="No"/>
    <n v="38"/>
    <x v="0"/>
    <n v="81.63"/>
    <n v="1601.83"/>
    <d v="2024-09-25T00:00:00"/>
    <x v="1"/>
    <s v="A"/>
  </r>
  <r>
    <n v="1274"/>
    <s v="Male"/>
    <x v="0"/>
    <s v="Yes"/>
    <s v="No"/>
    <s v="No"/>
    <s v="No"/>
    <s v="DSL"/>
    <s v="No"/>
    <s v="No"/>
    <s v="No"/>
    <s v="No"/>
    <s v="No"/>
    <s v="No"/>
    <x v="1"/>
    <s v="No"/>
    <n v="5"/>
    <x v="2"/>
    <n v="106.52"/>
    <n v="3693.37"/>
    <d v="2022-09-02T00:00:00"/>
    <x v="1"/>
    <s v="A"/>
  </r>
  <r>
    <n v="1275"/>
    <s v="Male"/>
    <x v="0"/>
    <s v="No"/>
    <s v="No"/>
    <s v="Yes"/>
    <s v="No"/>
    <s v="No"/>
    <s v="No"/>
    <s v="No"/>
    <s v="Yes"/>
    <s v="No"/>
    <s v="Yes"/>
    <s v="No"/>
    <x v="1"/>
    <s v="No"/>
    <n v="66"/>
    <x v="1"/>
    <n v="70.25"/>
    <n v="1741.64"/>
    <d v="2020-05-29T00:00:00"/>
    <x v="1"/>
    <s v="A"/>
  </r>
  <r>
    <n v="1276"/>
    <s v="Female"/>
    <x v="0"/>
    <s v="No"/>
    <s v="Yes"/>
    <s v="Yes"/>
    <s v="No"/>
    <s v="Fiber optic"/>
    <s v="No"/>
    <s v="No"/>
    <s v="No"/>
    <s v="No"/>
    <s v="Yes"/>
    <s v="Yes"/>
    <x v="1"/>
    <s v="No"/>
    <n v="44"/>
    <x v="3"/>
    <n v="30.49"/>
    <n v="3602.04"/>
    <d v="2024-01-14T00:00:00"/>
    <x v="1"/>
    <s v="A"/>
  </r>
  <r>
    <n v="1277"/>
    <s v="Female"/>
    <x v="0"/>
    <s v="No"/>
    <s v="No"/>
    <s v="Yes"/>
    <s v="No"/>
    <s v="Fiber optic"/>
    <s v="No"/>
    <s v="Yes"/>
    <s v="No"/>
    <s v="No"/>
    <s v="No"/>
    <s v="No"/>
    <x v="1"/>
    <s v="Yes"/>
    <n v="24"/>
    <x v="3"/>
    <n v="111.13"/>
    <n v="6178.97"/>
    <d v="2020-07-01T00:00:00"/>
    <x v="0"/>
    <s v="A"/>
  </r>
  <r>
    <n v="1278"/>
    <s v="Male"/>
    <x v="0"/>
    <s v="No"/>
    <s v="No"/>
    <s v="Yes"/>
    <s v="No"/>
    <s v="Fiber optic"/>
    <s v="Yes"/>
    <s v="No"/>
    <s v="No"/>
    <s v="Yes"/>
    <s v="No"/>
    <s v="No"/>
    <x v="2"/>
    <s v="No"/>
    <n v="62"/>
    <x v="1"/>
    <n v="51.05"/>
    <n v="6990.25"/>
    <d v="2022-11-29T00:00:00"/>
    <x v="0"/>
    <s v="A"/>
  </r>
  <r>
    <n v="1279"/>
    <s v="Male"/>
    <x v="0"/>
    <s v="Yes"/>
    <s v="No"/>
    <s v="Yes"/>
    <s v="No"/>
    <s v="DSL"/>
    <s v="No"/>
    <s v="No"/>
    <s v="No"/>
    <s v="No"/>
    <s v="No"/>
    <s v="No"/>
    <x v="2"/>
    <s v="No"/>
    <n v="24"/>
    <x v="0"/>
    <n v="94.91"/>
    <n v="5616.75"/>
    <d v="2020-11-14T00:00:00"/>
    <x v="0"/>
    <s v="A"/>
  </r>
  <r>
    <n v="1280"/>
    <s v="Male"/>
    <x v="0"/>
    <s v="Yes"/>
    <s v="Yes"/>
    <s v="Yes"/>
    <s v="No"/>
    <s v="Fiber optic"/>
    <s v="Yes"/>
    <s v="No"/>
    <s v="Yes"/>
    <s v="No"/>
    <s v="Yes"/>
    <s v="Yes"/>
    <x v="1"/>
    <s v="Yes"/>
    <n v="20"/>
    <x v="3"/>
    <n v="72.599999999999994"/>
    <n v="2032.82"/>
    <d v="2021-07-03T00:00:00"/>
    <x v="0"/>
    <s v="A"/>
  </r>
  <r>
    <n v="1281"/>
    <s v="Male"/>
    <x v="0"/>
    <s v="No"/>
    <s v="Yes"/>
    <s v="Yes"/>
    <s v="Yes"/>
    <s v="Fiber optic"/>
    <s v="No"/>
    <s v="No"/>
    <s v="No"/>
    <s v="No"/>
    <s v="No"/>
    <s v="Yes"/>
    <x v="1"/>
    <s v="No"/>
    <n v="58"/>
    <x v="1"/>
    <n v="68.874310344827592"/>
    <n v="3994.71"/>
    <d v="2021-02-20T00:00:00"/>
    <x v="0"/>
    <s v="A"/>
  </r>
  <r>
    <n v="1282"/>
    <s v="Male"/>
    <x v="0"/>
    <s v="Yes"/>
    <s v="No"/>
    <s v="Yes"/>
    <s v="Yes"/>
    <s v="DSL"/>
    <s v="Yes"/>
    <s v="No"/>
    <s v="Yes"/>
    <s v="No"/>
    <s v="Yes"/>
    <s v="Yes"/>
    <x v="1"/>
    <s v="Yes"/>
    <n v="9"/>
    <x v="2"/>
    <n v="51.58"/>
    <n v="123.53"/>
    <d v="2020-02-05T00:00:00"/>
    <x v="0"/>
    <s v="A"/>
  </r>
  <r>
    <n v="1283"/>
    <s v="Male"/>
    <x v="0"/>
    <s v="Yes"/>
    <s v="No"/>
    <s v="Yes"/>
    <s v="No"/>
    <s v="DSL"/>
    <s v="No"/>
    <s v="Yes"/>
    <s v="No"/>
    <s v="Yes"/>
    <s v="No"/>
    <s v="No"/>
    <x v="0"/>
    <s v="Yes"/>
    <n v="41"/>
    <x v="1"/>
    <n v="186.14731707317074"/>
    <n v="7632.04"/>
    <d v="2023-06-18T00:00:00"/>
    <x v="0"/>
    <s v="A"/>
  </r>
  <r>
    <n v="1284"/>
    <s v="Male"/>
    <x v="0"/>
    <s v="No"/>
    <s v="No"/>
    <s v="Yes"/>
    <s v="No"/>
    <s v="Fiber optic"/>
    <s v="No"/>
    <s v="No"/>
    <s v="Yes"/>
    <s v="Yes"/>
    <s v="Yes"/>
    <s v="No"/>
    <x v="0"/>
    <s v="No"/>
    <n v="35"/>
    <x v="2"/>
    <n v="110.37"/>
    <n v="0"/>
    <d v="2021-10-05T00:00:00"/>
    <x v="0"/>
    <s v="A"/>
  </r>
  <r>
    <n v="1285"/>
    <s v="Male"/>
    <x v="1"/>
    <s v="No"/>
    <s v="No"/>
    <s v="Yes"/>
    <s v="Yes"/>
    <s v="DSL"/>
    <s v="Yes"/>
    <s v="No"/>
    <s v="No"/>
    <s v="No"/>
    <s v="No"/>
    <s v="No"/>
    <x v="1"/>
    <s v="Yes"/>
    <n v="55"/>
    <x v="3"/>
    <n v="79.650000000000006"/>
    <n v="6415.87"/>
    <d v="2023-12-10T00:00:00"/>
    <x v="0"/>
    <s v="A"/>
  </r>
  <r>
    <n v="1286"/>
    <s v="Female"/>
    <x v="0"/>
    <s v="No"/>
    <s v="Yes"/>
    <s v="Yes"/>
    <s v="Yes"/>
    <s v="Fiber optic"/>
    <s v="Yes"/>
    <s v="No"/>
    <s v="No"/>
    <s v="No"/>
    <s v="Yes"/>
    <s v="Yes"/>
    <x v="0"/>
    <s v="No"/>
    <n v="11"/>
    <x v="0"/>
    <n v="61.19"/>
    <n v="2574.8000000000002"/>
    <d v="2021-05-16T00:00:00"/>
    <x v="0"/>
    <s v="A"/>
  </r>
  <r>
    <n v="1287"/>
    <s v="Female"/>
    <x v="0"/>
    <s v="Yes"/>
    <s v="Yes"/>
    <s v="Yes"/>
    <s v="No"/>
    <s v="Fiber optic"/>
    <s v="No"/>
    <s v="No"/>
    <s v="Yes"/>
    <s v="No"/>
    <s v="Yes"/>
    <s v="No"/>
    <x v="2"/>
    <s v="No"/>
    <n v="35"/>
    <x v="2"/>
    <n v="46.21"/>
    <n v="1973.42"/>
    <d v="2024-08-21T00:00:00"/>
    <x v="0"/>
    <s v="A"/>
  </r>
  <r>
    <n v="1288"/>
    <s v="Female"/>
    <x v="0"/>
    <s v="Yes"/>
    <s v="Yes"/>
    <s v="Yes"/>
    <s v="No"/>
    <s v="DSL"/>
    <s v="Yes"/>
    <s v="No"/>
    <s v="Yes"/>
    <s v="No"/>
    <s v="No"/>
    <s v="No"/>
    <x v="1"/>
    <s v="No"/>
    <n v="17"/>
    <x v="3"/>
    <n v="89.79"/>
    <n v="3348.35"/>
    <d v="2024-03-30T00:00:00"/>
    <x v="0"/>
    <s v="A"/>
  </r>
  <r>
    <n v="1289"/>
    <s v="Female"/>
    <x v="1"/>
    <s v="Yes"/>
    <s v="Yes"/>
    <s v="Yes"/>
    <s v="No"/>
    <s v="DSL"/>
    <s v="No"/>
    <s v="No"/>
    <s v="No"/>
    <s v="Yes"/>
    <s v="Yes"/>
    <s v="No"/>
    <x v="1"/>
    <s v="No"/>
    <n v="8"/>
    <x v="3"/>
    <n v="79.69"/>
    <n v="7556.49"/>
    <d v="2024-01-14T00:00:00"/>
    <x v="0"/>
    <s v="A"/>
  </r>
  <r>
    <n v="1290"/>
    <s v="Male"/>
    <x v="0"/>
    <s v="No"/>
    <s v="No"/>
    <s v="No"/>
    <s v="No"/>
    <s v="DSL"/>
    <s v="No"/>
    <s v="No"/>
    <s v="Yes"/>
    <s v="No"/>
    <s v="No"/>
    <s v="No"/>
    <x v="1"/>
    <s v="Yes"/>
    <n v="37"/>
    <x v="0"/>
    <n v="65.09"/>
    <n v="1059.93"/>
    <d v="2023-04-19T00:00:00"/>
    <x v="0"/>
    <s v="A"/>
  </r>
  <r>
    <n v="1291"/>
    <s v="Male"/>
    <x v="0"/>
    <s v="No"/>
    <s v="Yes"/>
    <s v="Yes"/>
    <s v="No"/>
    <s v="Fiber optic"/>
    <s v="No"/>
    <s v="Yes"/>
    <s v="Yes"/>
    <s v="No"/>
    <s v="No"/>
    <s v="Yes"/>
    <x v="0"/>
    <s v="Yes"/>
    <n v="41"/>
    <x v="2"/>
    <n v="39.049999999999997"/>
    <n v="5949.9"/>
    <d v="2020-05-04T00:00:00"/>
    <x v="0"/>
    <s v="A"/>
  </r>
  <r>
    <n v="1292"/>
    <s v="Female"/>
    <x v="1"/>
    <s v="No"/>
    <s v="No"/>
    <s v="Yes"/>
    <s v="Yes"/>
    <s v="No"/>
    <s v="No"/>
    <s v="No"/>
    <s v="No"/>
    <s v="No"/>
    <s v="Yes"/>
    <s v="Yes"/>
    <x v="0"/>
    <s v="No"/>
    <n v="31"/>
    <x v="3"/>
    <n v="37.049999999999997"/>
    <n v="6489.91"/>
    <d v="2020-04-03T00:00:00"/>
    <x v="0"/>
    <s v="A"/>
  </r>
  <r>
    <n v="1293"/>
    <s v="Female"/>
    <x v="0"/>
    <s v="Yes"/>
    <s v="No"/>
    <s v="No"/>
    <s v="Yes"/>
    <s v="No"/>
    <s v="No"/>
    <s v="No"/>
    <s v="No"/>
    <s v="Yes"/>
    <s v="No"/>
    <s v="Yes"/>
    <x v="0"/>
    <s v="Yes"/>
    <n v="36"/>
    <x v="2"/>
    <n v="43.25"/>
    <n v="1814.47"/>
    <d v="2022-06-18T00:00:00"/>
    <x v="1"/>
    <s v="A"/>
  </r>
  <r>
    <n v="1294"/>
    <s v="Male"/>
    <x v="0"/>
    <s v="No"/>
    <s v="Yes"/>
    <s v="Yes"/>
    <s v="No"/>
    <s v="Fiber optic"/>
    <s v="Yes"/>
    <s v="No"/>
    <s v="Yes"/>
    <s v="Yes"/>
    <s v="No"/>
    <s v="Yes"/>
    <x v="1"/>
    <s v="Yes"/>
    <n v="25"/>
    <x v="1"/>
    <n v="86.48"/>
    <n v="4196.0200000000004"/>
    <d v="2023-11-19T00:00:00"/>
    <x v="0"/>
    <s v="A"/>
  </r>
  <r>
    <n v="1295"/>
    <s v="Female"/>
    <x v="0"/>
    <s v="No"/>
    <s v="No"/>
    <s v="Yes"/>
    <s v="Yes"/>
    <s v="Fiber optic"/>
    <s v="No"/>
    <s v="Yes"/>
    <s v="No"/>
    <s v="Yes"/>
    <s v="No"/>
    <s v="No"/>
    <x v="2"/>
    <s v="No"/>
    <n v="30"/>
    <x v="2"/>
    <n v="95.49"/>
    <n v="2312"/>
    <d v="2020-03-15T00:00:00"/>
    <x v="0"/>
    <s v="A"/>
  </r>
  <r>
    <n v="1296"/>
    <s v="Female"/>
    <x v="0"/>
    <s v="No"/>
    <s v="No"/>
    <s v="No"/>
    <s v="No"/>
    <s v="DSL"/>
    <s v="No"/>
    <s v="No"/>
    <s v="No"/>
    <s v="No"/>
    <s v="Yes"/>
    <s v="No"/>
    <x v="1"/>
    <s v="Yes"/>
    <n v="4"/>
    <x v="3"/>
    <n v="76.849999999999994"/>
    <n v="1274.2"/>
    <d v="2020-05-10T00:00:00"/>
    <x v="0"/>
    <s v="A"/>
  </r>
  <r>
    <n v="1297"/>
    <s v="Female"/>
    <x v="0"/>
    <s v="Yes"/>
    <s v="Yes"/>
    <s v="Yes"/>
    <s v="Yes"/>
    <s v="Fiber optic"/>
    <s v="No"/>
    <s v="No"/>
    <s v="Yes"/>
    <s v="No"/>
    <s v="No"/>
    <s v="No"/>
    <x v="2"/>
    <s v="Yes"/>
    <n v="18"/>
    <x v="2"/>
    <n v="39.35"/>
    <n v="5088.54"/>
    <d v="2020-03-07T00:00:00"/>
    <x v="0"/>
    <s v="A"/>
  </r>
  <r>
    <n v="1298"/>
    <s v="Female"/>
    <x v="0"/>
    <s v="No"/>
    <s v="No"/>
    <s v="Yes"/>
    <s v="No"/>
    <s v="DSL"/>
    <s v="Yes"/>
    <s v="No"/>
    <s v="Yes"/>
    <s v="No"/>
    <s v="No"/>
    <s v="Yes"/>
    <x v="1"/>
    <s v="Yes"/>
    <n v="8"/>
    <x v="2"/>
    <n v="108.45"/>
    <n v="3965.56"/>
    <d v="2022-10-01T00:00:00"/>
    <x v="0"/>
    <s v="A"/>
  </r>
  <r>
    <n v="1299"/>
    <s v="Female"/>
    <x v="0"/>
    <s v="No"/>
    <s v="No"/>
    <s v="Yes"/>
    <s v="No"/>
    <s v="DSL"/>
    <s v="Yes"/>
    <s v="No"/>
    <s v="No"/>
    <s v="No"/>
    <s v="No"/>
    <s v="No"/>
    <x v="1"/>
    <s v="Yes"/>
    <n v="41"/>
    <x v="0"/>
    <n v="75.33"/>
    <n v="481.2"/>
    <d v="2022-12-28T00:00:00"/>
    <x v="0"/>
    <s v="A"/>
  </r>
  <r>
    <n v="1300"/>
    <s v="Female"/>
    <x v="0"/>
    <s v="Yes"/>
    <s v="No"/>
    <s v="Yes"/>
    <s v="Yes"/>
    <s v="DSL"/>
    <s v="Yes"/>
    <s v="No"/>
    <s v="No"/>
    <s v="Yes"/>
    <s v="No"/>
    <s v="Yes"/>
    <x v="1"/>
    <s v="No"/>
    <n v="61"/>
    <x v="2"/>
    <n v="96.13"/>
    <n v="2977.53"/>
    <d v="2022-08-19T00:00:00"/>
    <x v="1"/>
    <s v="A"/>
  </r>
  <r>
    <n v="1301"/>
    <s v="Male"/>
    <x v="0"/>
    <s v="No"/>
    <s v="Yes"/>
    <s v="Yes"/>
    <s v="Yes"/>
    <s v="No"/>
    <s v="No"/>
    <s v="Yes"/>
    <s v="No"/>
    <s v="No"/>
    <s v="No"/>
    <s v="No"/>
    <x v="0"/>
    <s v="No"/>
    <n v="29"/>
    <x v="0"/>
    <n v="112.43"/>
    <n v="2840.76"/>
    <d v="2021-03-24T00:00:00"/>
    <x v="0"/>
    <s v="A"/>
  </r>
  <r>
    <n v="1302"/>
    <s v="Male"/>
    <x v="0"/>
    <s v="No"/>
    <s v="Yes"/>
    <s v="Yes"/>
    <s v="No"/>
    <s v="DSL"/>
    <s v="No"/>
    <s v="Yes"/>
    <s v="Yes"/>
    <s v="No"/>
    <s v="Yes"/>
    <s v="Yes"/>
    <x v="2"/>
    <s v="No"/>
    <n v="7"/>
    <x v="3"/>
    <n v="21.19"/>
    <n v="3670.14"/>
    <d v="2020-08-03T00:00:00"/>
    <x v="0"/>
    <s v="A"/>
  </r>
  <r>
    <n v="1303"/>
    <s v="Female"/>
    <x v="0"/>
    <s v="No"/>
    <s v="No"/>
    <s v="No"/>
    <s v="No"/>
    <s v="DSL"/>
    <s v="No"/>
    <s v="No"/>
    <s v="Yes"/>
    <s v="No"/>
    <s v="No"/>
    <s v="No"/>
    <x v="1"/>
    <s v="No"/>
    <n v="51"/>
    <x v="2"/>
    <n v="115.92"/>
    <n v="4535.62"/>
    <d v="2020-02-02T00:00:00"/>
    <x v="0"/>
    <s v="A"/>
  </r>
  <r>
    <n v="1304"/>
    <s v="Female"/>
    <x v="1"/>
    <s v="Yes"/>
    <s v="Yes"/>
    <s v="Yes"/>
    <s v="No"/>
    <s v="DSL"/>
    <s v="No"/>
    <s v="Yes"/>
    <s v="Yes"/>
    <s v="No"/>
    <s v="Yes"/>
    <s v="No"/>
    <x v="1"/>
    <s v="No"/>
    <n v="7"/>
    <x v="1"/>
    <n v="277.18714285714287"/>
    <n v="1940.31"/>
    <d v="2020-05-30T00:00:00"/>
    <x v="0"/>
    <s v="A"/>
  </r>
  <r>
    <n v="1305"/>
    <s v="Male"/>
    <x v="0"/>
    <s v="No"/>
    <s v="No"/>
    <s v="Yes"/>
    <s v="No"/>
    <s v="Fiber optic"/>
    <s v="Yes"/>
    <s v="Yes"/>
    <s v="No"/>
    <s v="Yes"/>
    <s v="No"/>
    <s v="No"/>
    <x v="1"/>
    <s v="Yes"/>
    <n v="0"/>
    <x v="2"/>
    <n v="12"/>
    <n v="708"/>
    <d v="2022-06-15T00:00:00"/>
    <x v="0"/>
    <s v="A"/>
  </r>
  <r>
    <n v="1306"/>
    <s v="Female"/>
    <x v="0"/>
    <s v="No"/>
    <s v="Yes"/>
    <s v="Yes"/>
    <s v="Yes"/>
    <s v="No"/>
    <s v="No"/>
    <s v="No"/>
    <s v="No"/>
    <s v="No"/>
    <s v="Yes"/>
    <s v="No"/>
    <x v="1"/>
    <s v="No"/>
    <n v="8"/>
    <x v="3"/>
    <n v="35.72"/>
    <n v="2124.65"/>
    <d v="2023-05-12T00:00:00"/>
    <x v="0"/>
    <s v="A"/>
  </r>
  <r>
    <n v="1307"/>
    <s v="Female"/>
    <x v="0"/>
    <s v="No"/>
    <s v="No"/>
    <s v="Yes"/>
    <s v="No"/>
    <s v="DSL"/>
    <s v="Yes"/>
    <s v="Yes"/>
    <s v="Yes"/>
    <s v="No"/>
    <s v="No"/>
    <s v="No"/>
    <x v="2"/>
    <s v="Yes"/>
    <n v="30"/>
    <x v="1"/>
    <n v="54.88"/>
    <n v="3357.71"/>
    <d v="2023-10-28T00:00:00"/>
    <x v="0"/>
    <s v="A"/>
  </r>
  <r>
    <n v="1308"/>
    <s v="Female"/>
    <x v="0"/>
    <s v="Yes"/>
    <s v="Yes"/>
    <s v="No"/>
    <s v="No"/>
    <s v="Fiber optic"/>
    <s v="No"/>
    <s v="No"/>
    <s v="Yes"/>
    <s v="No"/>
    <s v="Yes"/>
    <s v="No"/>
    <x v="1"/>
    <s v="Yes"/>
    <n v="48"/>
    <x v="1"/>
    <n v="51.42"/>
    <n v="6090.3"/>
    <d v="2023-06-10T00:00:00"/>
    <x v="0"/>
    <s v="B"/>
  </r>
  <r>
    <n v="1309"/>
    <s v="Female"/>
    <x v="1"/>
    <s v="No"/>
    <s v="No"/>
    <s v="Yes"/>
    <s v="No"/>
    <s v="DSL"/>
    <s v="No"/>
    <s v="Yes"/>
    <s v="Yes"/>
    <s v="No"/>
    <s v="Yes"/>
    <s v="Yes"/>
    <x v="1"/>
    <s v="Yes"/>
    <n v="66"/>
    <x v="3"/>
    <n v="66.11"/>
    <n v="2224.16"/>
    <d v="2021-02-25T00:00:00"/>
    <x v="0"/>
    <s v="A"/>
  </r>
  <r>
    <n v="1310"/>
    <s v="Female"/>
    <x v="0"/>
    <s v="Yes"/>
    <s v="Yes"/>
    <s v="Yes"/>
    <s v="No"/>
    <s v="Fiber optic"/>
    <s v="No"/>
    <s v="No"/>
    <s v="No"/>
    <s v="No"/>
    <s v="Yes"/>
    <s v="Yes"/>
    <x v="1"/>
    <s v="Yes"/>
    <n v="56"/>
    <x v="3"/>
    <n v="23.488928571428573"/>
    <n v="1315.38"/>
    <d v="2020-06-28T00:00:00"/>
    <x v="0"/>
    <s v="A"/>
  </r>
  <r>
    <n v="1311"/>
    <s v="Male"/>
    <x v="0"/>
    <s v="No"/>
    <s v="Yes"/>
    <s v="Yes"/>
    <s v="No"/>
    <s v="DSL"/>
    <s v="No"/>
    <s v="Yes"/>
    <s v="Yes"/>
    <s v="No"/>
    <s v="No"/>
    <s v="Yes"/>
    <x v="0"/>
    <s v="Yes"/>
    <n v="43"/>
    <x v="2"/>
    <n v="110.06"/>
    <n v="6001.46"/>
    <d v="2022-03-20T00:00:00"/>
    <x v="0"/>
    <s v="A"/>
  </r>
  <r>
    <n v="1312"/>
    <s v="Male"/>
    <x v="0"/>
    <s v="No"/>
    <s v="No"/>
    <s v="Yes"/>
    <s v="No"/>
    <s v="DSL"/>
    <s v="Yes"/>
    <s v="No"/>
    <s v="No"/>
    <s v="No"/>
    <s v="No"/>
    <s v="No"/>
    <x v="1"/>
    <s v="No"/>
    <n v="26"/>
    <x v="1"/>
    <n v="44.69"/>
    <n v="2730.02"/>
    <d v="2020-04-24T00:00:00"/>
    <x v="0"/>
    <s v="A"/>
  </r>
  <r>
    <n v="1313"/>
    <s v="Female"/>
    <x v="1"/>
    <s v="No"/>
    <s v="Yes"/>
    <s v="Yes"/>
    <s v="Yes"/>
    <s v="Fiber optic"/>
    <s v="No"/>
    <s v="No"/>
    <s v="No"/>
    <s v="Yes"/>
    <s v="No"/>
    <s v="No"/>
    <x v="1"/>
    <s v="No"/>
    <n v="32"/>
    <x v="1"/>
    <n v="59.98"/>
    <n v="1219.3399999999999"/>
    <d v="2024-11-04T00:00:00"/>
    <x v="0"/>
    <s v="A"/>
  </r>
  <r>
    <n v="1314"/>
    <s v="Female"/>
    <x v="0"/>
    <s v="No"/>
    <s v="No"/>
    <s v="Yes"/>
    <s v="Yes"/>
    <s v="Fiber optic"/>
    <s v="Yes"/>
    <s v="Yes"/>
    <s v="No"/>
    <s v="No"/>
    <s v="No"/>
    <s v="No"/>
    <x v="0"/>
    <s v="Yes"/>
    <n v="35"/>
    <x v="2"/>
    <n v="112.2"/>
    <n v="758.79"/>
    <d v="2024-10-28T00:00:00"/>
    <x v="0"/>
    <s v="A"/>
  </r>
  <r>
    <n v="1315"/>
    <s v="Female"/>
    <x v="0"/>
    <s v="Yes"/>
    <s v="No"/>
    <s v="Yes"/>
    <s v="No"/>
    <s v="DSL"/>
    <s v="No"/>
    <s v="No"/>
    <s v="Yes"/>
    <s v="No"/>
    <s v="Yes"/>
    <s v="Yes"/>
    <x v="1"/>
    <s v="No"/>
    <n v="7"/>
    <x v="2"/>
    <n v="71.97"/>
    <n v="7461.59"/>
    <d v="2022-09-27T00:00:00"/>
    <x v="0"/>
    <s v="A"/>
  </r>
  <r>
    <n v="1316"/>
    <s v="Male"/>
    <x v="1"/>
    <s v="No"/>
    <s v="No"/>
    <s v="Yes"/>
    <s v="No"/>
    <s v="Fiber optic"/>
    <s v="No"/>
    <s v="Yes"/>
    <s v="Yes"/>
    <s v="No"/>
    <s v="No"/>
    <s v="Yes"/>
    <x v="1"/>
    <s v="No"/>
    <n v="62"/>
    <x v="3"/>
    <n v="61.46"/>
    <n v="6325.7"/>
    <d v="2021-05-03T00:00:00"/>
    <x v="0"/>
    <s v="A"/>
  </r>
  <r>
    <n v="1317"/>
    <s v="Female"/>
    <x v="0"/>
    <s v="Yes"/>
    <s v="No"/>
    <s v="No"/>
    <s v="Yes"/>
    <s v="DSL"/>
    <s v="Yes"/>
    <s v="No"/>
    <s v="Yes"/>
    <s v="No"/>
    <s v="No"/>
    <s v="No"/>
    <x v="1"/>
    <s v="Yes"/>
    <n v="44"/>
    <x v="2"/>
    <n v="89.07"/>
    <n v="3042.13"/>
    <d v="2020-09-23T00:00:00"/>
    <x v="0"/>
    <s v="A"/>
  </r>
  <r>
    <n v="1318"/>
    <s v="Male"/>
    <x v="0"/>
    <s v="No"/>
    <s v="No"/>
    <s v="Yes"/>
    <s v="No"/>
    <s v="Fiber optic"/>
    <s v="No"/>
    <s v="Yes"/>
    <s v="Yes"/>
    <s v="No"/>
    <s v="No"/>
    <s v="No"/>
    <x v="1"/>
    <s v="Yes"/>
    <n v="65"/>
    <x v="0"/>
    <n v="59.6"/>
    <n v="666.27"/>
    <d v="2022-12-09T00:00:00"/>
    <x v="0"/>
    <s v="A"/>
  </r>
  <r>
    <n v="1319"/>
    <s v="Male"/>
    <x v="0"/>
    <s v="Yes"/>
    <s v="Yes"/>
    <s v="Yes"/>
    <s v="Yes"/>
    <s v="No"/>
    <s v="No"/>
    <s v="No"/>
    <s v="No"/>
    <s v="No"/>
    <s v="Yes"/>
    <s v="No"/>
    <x v="1"/>
    <s v="No"/>
    <n v="21"/>
    <x v="2"/>
    <n v="42.93"/>
    <n v="909.8"/>
    <d v="2023-11-30T00:00:00"/>
    <x v="0"/>
    <s v="A"/>
  </r>
  <r>
    <n v="1320"/>
    <s v="Male"/>
    <x v="0"/>
    <s v="Yes"/>
    <s v="Yes"/>
    <s v="Yes"/>
    <s v="Yes"/>
    <s v="Fiber optic"/>
    <s v="No"/>
    <s v="No"/>
    <s v="No"/>
    <s v="No"/>
    <s v="No"/>
    <s v="Yes"/>
    <x v="1"/>
    <s v="Yes"/>
    <n v="45"/>
    <x v="2"/>
    <n v="115.49"/>
    <n v="0"/>
    <d v="2023-03-14T00:00:00"/>
    <x v="0"/>
    <s v="A"/>
  </r>
  <r>
    <n v="1321"/>
    <s v="Female"/>
    <x v="0"/>
    <s v="No"/>
    <s v="No"/>
    <s v="Yes"/>
    <s v="No"/>
    <s v="DSL"/>
    <s v="Yes"/>
    <s v="Yes"/>
    <s v="No"/>
    <s v="No"/>
    <s v="No"/>
    <s v="No"/>
    <x v="0"/>
    <s v="No"/>
    <n v="41"/>
    <x v="3"/>
    <n v="111.65"/>
    <n v="2909.66"/>
    <d v="2022-05-17T00:00:00"/>
    <x v="1"/>
    <s v="B"/>
  </r>
  <r>
    <n v="1322"/>
    <s v="Female"/>
    <x v="0"/>
    <s v="Yes"/>
    <s v="No"/>
    <s v="Yes"/>
    <s v="No"/>
    <s v="Fiber optic"/>
    <s v="No"/>
    <s v="No"/>
    <s v="Yes"/>
    <s v="No"/>
    <s v="No"/>
    <s v="Yes"/>
    <x v="0"/>
    <s v="No"/>
    <n v="42"/>
    <x v="2"/>
    <n v="69.589047619047619"/>
    <n v="2922.74"/>
    <d v="2023-06-29T00:00:00"/>
    <x v="0"/>
    <s v="A"/>
  </r>
  <r>
    <n v="1323"/>
    <s v="Female"/>
    <x v="0"/>
    <s v="Yes"/>
    <s v="No"/>
    <s v="Yes"/>
    <s v="No"/>
    <s v="No"/>
    <s v="No"/>
    <s v="No"/>
    <s v="No"/>
    <s v="Yes"/>
    <s v="No"/>
    <s v="No"/>
    <x v="0"/>
    <s v="Yes"/>
    <n v="44"/>
    <x v="2"/>
    <n v="59.45"/>
    <n v="2429.06"/>
    <d v="2022-04-08T00:00:00"/>
    <x v="0"/>
    <s v="A"/>
  </r>
  <r>
    <n v="1325"/>
    <s v="Female"/>
    <x v="0"/>
    <s v="No"/>
    <s v="Yes"/>
    <s v="Yes"/>
    <s v="Yes"/>
    <s v="Fiber optic"/>
    <s v="Yes"/>
    <s v="Yes"/>
    <s v="Yes"/>
    <s v="No"/>
    <s v="No"/>
    <s v="No"/>
    <x v="0"/>
    <s v="Yes"/>
    <n v="33"/>
    <x v="0"/>
    <n v="69.731294014821103"/>
    <n v="3451.2616641872"/>
    <d v="2022-04-22T12:56:22"/>
    <x v="0"/>
    <s v="A"/>
  </r>
  <r>
    <n v="1326"/>
    <s v="Female"/>
    <x v="0"/>
    <s v="Yes"/>
    <s v="No"/>
    <s v="Yes"/>
    <s v="Yes"/>
    <s v="Fiber optic"/>
    <s v="Yes"/>
    <s v="Yes"/>
    <s v="Yes"/>
    <s v="Yes"/>
    <s v="No"/>
    <s v="No"/>
    <x v="1"/>
    <s v="Yes"/>
    <n v="33"/>
    <x v="1"/>
    <n v="69.709885740039297"/>
    <n v="3448.7893275574302"/>
    <d v="2022-04-22T08:08:03"/>
    <x v="0"/>
    <s v="A"/>
  </r>
  <r>
    <n v="1327"/>
    <s v="Male"/>
    <x v="0"/>
    <s v="Yes"/>
    <s v="Yes"/>
    <s v="Yes"/>
    <s v="Yes"/>
    <s v="DSL"/>
    <s v="No"/>
    <s v="Yes"/>
    <s v="No"/>
    <s v="No"/>
    <s v="No"/>
    <s v="Yes"/>
    <x v="1"/>
    <s v="Yes"/>
    <n v="33"/>
    <x v="0"/>
    <n v="69.688477465257606"/>
    <n v="3446.3169909276498"/>
    <d v="2022-04-22T03:19:43"/>
    <x v="0"/>
    <s v="A"/>
  </r>
  <r>
    <n v="1328"/>
    <s v="Female"/>
    <x v="1"/>
    <s v="No"/>
    <s v="No"/>
    <s v="No"/>
    <s v="No"/>
    <s v="No"/>
    <s v="No"/>
    <s v="No"/>
    <s v="No"/>
    <s v="No"/>
    <s v="Yes"/>
    <s v="Yes"/>
    <x v="1"/>
    <s v="No"/>
    <n v="33"/>
    <x v="2"/>
    <n v="69.6670691904758"/>
    <n v="3443.84465429788"/>
    <d v="2022-04-21T22:31:24"/>
    <x v="0"/>
    <s v="A"/>
  </r>
  <r>
    <n v="1329"/>
    <s v="Male"/>
    <x v="1"/>
    <s v="No"/>
    <s v="Yes"/>
    <s v="Yes"/>
    <s v="Yes"/>
    <s v="Fiber optic"/>
    <s v="No"/>
    <s v="Yes"/>
    <s v="No"/>
    <s v="No"/>
    <s v="No"/>
    <s v="Yes"/>
    <x v="1"/>
    <s v="No"/>
    <n v="33"/>
    <x v="2"/>
    <n v="69.645660915694094"/>
    <n v="3441.3723176681001"/>
    <d v="2022-04-21T17:43:05"/>
    <x v="0"/>
    <s v="A"/>
  </r>
  <r>
    <n v="1330"/>
    <s v="Female"/>
    <x v="1"/>
    <s v="No"/>
    <s v="No"/>
    <s v="Yes"/>
    <s v="No"/>
    <s v="Fiber optic"/>
    <s v="Yes"/>
    <s v="Yes"/>
    <s v="Yes"/>
    <s v="Yes"/>
    <s v="No"/>
    <s v="No"/>
    <x v="1"/>
    <s v="Yes"/>
    <n v="33"/>
    <x v="1"/>
    <n v="69.624252640912303"/>
    <n v="3438.8999810383302"/>
    <d v="2022-04-21T12:54:46"/>
    <x v="0"/>
    <s v="A"/>
  </r>
  <r>
    <n v="1331"/>
    <s v="Female"/>
    <x v="1"/>
    <s v="No"/>
    <s v="Yes"/>
    <s v="No"/>
    <s v="Yes"/>
    <s v="Fiber optic"/>
    <s v="No"/>
    <s v="No"/>
    <s v="No"/>
    <s v="Yes"/>
    <s v="Yes"/>
    <s v="No"/>
    <x v="0"/>
    <s v="Yes"/>
    <n v="33"/>
    <x v="2"/>
    <n v="69.602844366130498"/>
    <n v="3436.4276444085499"/>
    <d v="2022-04-21T08:06:26"/>
    <x v="0"/>
    <s v="A"/>
  </r>
  <r>
    <n v="1332"/>
    <s v="Female"/>
    <x v="1"/>
    <s v="No"/>
    <s v="No"/>
    <s v="Yes"/>
    <s v="No"/>
    <s v="Fiber optic"/>
    <s v="Yes"/>
    <s v="No"/>
    <s v="Yes"/>
    <s v="No"/>
    <s v="No"/>
    <s v="Yes"/>
    <x v="0"/>
    <s v="Yes"/>
    <n v="33"/>
    <x v="2"/>
    <n v="69.581436091348806"/>
    <n v="3433.95530777878"/>
    <d v="2022-04-21T03:18:07"/>
    <x v="0"/>
    <s v="A"/>
  </r>
  <r>
    <n v="1333"/>
    <s v="Female"/>
    <x v="0"/>
    <s v="Yes"/>
    <s v="No"/>
    <s v="Yes"/>
    <s v="No"/>
    <s v="Fiber optic"/>
    <s v="No"/>
    <s v="Yes"/>
    <s v="No"/>
    <s v="No"/>
    <s v="No"/>
    <s v="Yes"/>
    <x v="2"/>
    <s v="Yes"/>
    <n v="33"/>
    <x v="1"/>
    <n v="69.560027816567001"/>
    <n v="3431.4829711490002"/>
    <d v="2022-04-20T22:29:48"/>
    <x v="0"/>
    <s v="A"/>
  </r>
  <r>
    <n v="1334"/>
    <s v="Male"/>
    <x v="0"/>
    <s v="No"/>
    <s v="Yes"/>
    <s v="Yes"/>
    <s v="Yes"/>
    <s v="Fiber optic"/>
    <s v="Yes"/>
    <s v="No"/>
    <s v="No"/>
    <s v="Yes"/>
    <s v="Yes"/>
    <s v="Yes"/>
    <x v="0"/>
    <s v="No"/>
    <n v="33"/>
    <x v="2"/>
    <n v="69.538619541785295"/>
    <n v="3429.0106345192298"/>
    <d v="2022-04-20T17:41:29"/>
    <x v="0"/>
    <s v="A"/>
  </r>
  <r>
    <n v="1335"/>
    <s v="Female"/>
    <x v="0"/>
    <s v="Yes"/>
    <s v="Yes"/>
    <s v="Yes"/>
    <s v="No"/>
    <s v="Fiber optic"/>
    <s v="No"/>
    <s v="No"/>
    <s v="No"/>
    <s v="No"/>
    <s v="No"/>
    <s v="No"/>
    <x v="1"/>
    <s v="Yes"/>
    <n v="33"/>
    <x v="0"/>
    <n v="69.517211267003503"/>
    <n v="3426.53829788946"/>
    <d v="2022-04-20T12:53:09"/>
    <x v="0"/>
    <s v="A"/>
  </r>
  <r>
    <n v="1336"/>
    <s v="Female"/>
    <x v="0"/>
    <s v="No"/>
    <s v="No"/>
    <s v="Yes"/>
    <s v="Yes"/>
    <s v="Fiber optic"/>
    <s v="No"/>
    <s v="No"/>
    <s v="No"/>
    <s v="Yes"/>
    <s v="Yes"/>
    <s v="No"/>
    <x v="0"/>
    <s v="Yes"/>
    <n v="33"/>
    <x v="1"/>
    <n v="69.495802992221797"/>
    <n v="3424.0659612596801"/>
    <d v="2022-04-20T08:04:50"/>
    <x v="0"/>
    <s v="A"/>
  </r>
  <r>
    <n v="1337"/>
    <s v="Male"/>
    <x v="0"/>
    <s v="No"/>
    <s v="No"/>
    <s v="Yes"/>
    <s v="No"/>
    <s v="No"/>
    <s v="No"/>
    <s v="No"/>
    <s v="No"/>
    <s v="No"/>
    <s v="No"/>
    <s v="No"/>
    <x v="0"/>
    <s v="No"/>
    <n v="33"/>
    <x v="0"/>
    <n v="69.474394717440006"/>
    <n v="3421.5936246299102"/>
    <d v="2022-04-20T03:16:31"/>
    <x v="1"/>
    <s v="A"/>
  </r>
  <r>
    <n v="1338"/>
    <s v="Male"/>
    <x v="0"/>
    <s v="Yes"/>
    <s v="No"/>
    <s v="Yes"/>
    <s v="No"/>
    <s v="DSL"/>
    <s v="No"/>
    <s v="Yes"/>
    <s v="Yes"/>
    <s v="No"/>
    <s v="Yes"/>
    <s v="Yes"/>
    <x v="2"/>
    <s v="No"/>
    <n v="33"/>
    <x v="2"/>
    <n v="69.4529864426583"/>
    <n v="3419.1212880001299"/>
    <d v="2022-04-19T22:28:12"/>
    <x v="0"/>
    <s v="A"/>
  </r>
  <r>
    <n v="1339"/>
    <s v="Female"/>
    <x v="0"/>
    <s v="Yes"/>
    <s v="Yes"/>
    <s v="No"/>
    <s v="No"/>
    <s v="DSL"/>
    <s v="No"/>
    <s v="No"/>
    <s v="Yes"/>
    <s v="No"/>
    <s v="No"/>
    <s v="No"/>
    <x v="2"/>
    <s v="Yes"/>
    <n v="33"/>
    <x v="2"/>
    <n v="69.431578167876495"/>
    <n v="3416.64895137036"/>
    <d v="2022-04-19T17:39:52"/>
    <x v="0"/>
    <s v="A"/>
  </r>
  <r>
    <n v="1340"/>
    <s v="Male"/>
    <x v="0"/>
    <s v="No"/>
    <s v="No"/>
    <s v="Yes"/>
    <s v="No"/>
    <s v="Fiber optic"/>
    <s v="Yes"/>
    <s v="No"/>
    <s v="Yes"/>
    <s v="No"/>
    <s v="Yes"/>
    <s v="No"/>
    <x v="0"/>
    <s v="No"/>
    <n v="33"/>
    <x v="3"/>
    <n v="69.410169893094803"/>
    <n v="3414.1766147405801"/>
    <d v="2022-04-19T12:51:33"/>
    <x v="0"/>
    <s v="A"/>
  </r>
  <r>
    <n v="1341"/>
    <s v="Male"/>
    <x v="0"/>
    <s v="Yes"/>
    <s v="No"/>
    <s v="Yes"/>
    <s v="No"/>
    <s v="Fiber optic"/>
    <s v="Yes"/>
    <s v="No"/>
    <s v="Yes"/>
    <s v="No"/>
    <s v="Yes"/>
    <s v="Yes"/>
    <x v="1"/>
    <s v="No"/>
    <n v="33"/>
    <x v="2"/>
    <n v="69.388761618312998"/>
    <n v="3411.7042781108098"/>
    <d v="2022-04-19T08:03:14"/>
    <x v="0"/>
    <s v="A"/>
  </r>
  <r>
    <n v="1342"/>
    <s v="Male"/>
    <x v="0"/>
    <s v="Yes"/>
    <s v="Yes"/>
    <s v="Yes"/>
    <s v="No"/>
    <s v="No"/>
    <s v="Yes"/>
    <s v="No"/>
    <s v="Yes"/>
    <s v="No"/>
    <s v="No"/>
    <s v="No"/>
    <x v="1"/>
    <s v="No"/>
    <n v="33"/>
    <x v="2"/>
    <n v="69.367353343531306"/>
    <n v="3409.2319414810299"/>
    <d v="2022-04-19T03:14:55"/>
    <x v="1"/>
    <s v="A"/>
  </r>
  <r>
    <n v="1343"/>
    <s v="Female"/>
    <x v="0"/>
    <s v="Yes"/>
    <s v="No"/>
    <s v="Yes"/>
    <s v="No"/>
    <s v="DSL"/>
    <s v="Yes"/>
    <s v="No"/>
    <s v="Yes"/>
    <s v="No"/>
    <s v="No"/>
    <s v="No"/>
    <x v="0"/>
    <s v="No"/>
    <n v="33"/>
    <x v="2"/>
    <n v="69.345945068749501"/>
    <n v="3406.7596048512601"/>
    <d v="2022-04-18T22:26:35"/>
    <x v="1"/>
    <s v="A"/>
  </r>
  <r>
    <n v="1344"/>
    <s v="Female"/>
    <x v="0"/>
    <s v="Yes"/>
    <s v="Yes"/>
    <s v="Yes"/>
    <s v="No"/>
    <s v="Fiber optic"/>
    <s v="No"/>
    <s v="Yes"/>
    <s v="No"/>
    <s v="Yes"/>
    <s v="No"/>
    <s v="Yes"/>
    <x v="2"/>
    <s v="No"/>
    <n v="33"/>
    <x v="3"/>
    <n v="69.324536793967795"/>
    <n v="3404.2872682214802"/>
    <d v="2022-04-18T17:38:16"/>
    <x v="0"/>
    <s v="A"/>
  </r>
  <r>
    <n v="1345"/>
    <s v="Male"/>
    <x v="0"/>
    <s v="Yes"/>
    <s v="No"/>
    <s v="Yes"/>
    <s v="No"/>
    <s v="DSL"/>
    <s v="No"/>
    <s v="No"/>
    <s v="Yes"/>
    <s v="No"/>
    <s v="Yes"/>
    <s v="No"/>
    <x v="1"/>
    <s v="Yes"/>
    <n v="33"/>
    <x v="3"/>
    <n v="69.303128519186004"/>
    <n v="3401.8149315917099"/>
    <d v="2022-04-18T12:49:57"/>
    <x v="0"/>
    <s v="A"/>
  </r>
  <r>
    <n v="1346"/>
    <s v="Male"/>
    <x v="0"/>
    <s v="Yes"/>
    <s v="Yes"/>
    <s v="Yes"/>
    <s v="Yes"/>
    <s v="DSL"/>
    <s v="No"/>
    <s v="No"/>
    <s v="No"/>
    <s v="No"/>
    <s v="Yes"/>
    <s v="No"/>
    <x v="1"/>
    <s v="Yes"/>
    <n v="33"/>
    <x v="1"/>
    <n v="69.281720244404198"/>
    <n v="3399.34259496193"/>
    <d v="2022-04-18T08:01:38"/>
    <x v="1"/>
    <s v="A"/>
  </r>
  <r>
    <n v="1347"/>
    <s v="Female"/>
    <x v="0"/>
    <s v="Yes"/>
    <s v="Yes"/>
    <s v="Yes"/>
    <s v="No"/>
    <s v="No"/>
    <s v="No"/>
    <s v="No"/>
    <s v="No"/>
    <s v="No"/>
    <s v="Yes"/>
    <s v="Yes"/>
    <x v="1"/>
    <s v="No"/>
    <n v="33"/>
    <x v="1"/>
    <n v="69.260311969622506"/>
    <n v="3396.8702583321601"/>
    <d v="2022-04-18T03:13:18"/>
    <x v="0"/>
    <s v="A"/>
  </r>
  <r>
    <n v="1348"/>
    <s v="Male"/>
    <x v="0"/>
    <s v="No"/>
    <s v="No"/>
    <s v="Yes"/>
    <s v="No"/>
    <s v="No"/>
    <s v="Yes"/>
    <s v="Yes"/>
    <s v="No"/>
    <s v="No"/>
    <s v="Yes"/>
    <s v="Yes"/>
    <x v="1"/>
    <s v="Yes"/>
    <n v="33"/>
    <x v="3"/>
    <n v="69.238903694840701"/>
    <n v="3394.3979217023798"/>
    <d v="2022-04-17T22:24:59"/>
    <x v="0"/>
    <s v="B"/>
  </r>
  <r>
    <n v="1349"/>
    <s v="Male"/>
    <x v="0"/>
    <s v="No"/>
    <s v="No"/>
    <s v="No"/>
    <s v="No"/>
    <s v="DSL"/>
    <s v="No"/>
    <s v="No"/>
    <s v="Yes"/>
    <s v="No"/>
    <s v="Yes"/>
    <s v="Yes"/>
    <x v="0"/>
    <s v="No"/>
    <n v="33"/>
    <x v="2"/>
    <n v="69.217495420058995"/>
    <n v="3391.9255850726099"/>
    <d v="2022-04-17T17:36:40"/>
    <x v="0"/>
    <s v="A"/>
  </r>
  <r>
    <n v="1350"/>
    <s v="Female"/>
    <x v="0"/>
    <s v="Yes"/>
    <s v="No"/>
    <s v="Yes"/>
    <s v="No"/>
    <s v="No"/>
    <s v="No"/>
    <s v="Yes"/>
    <s v="No"/>
    <s v="No"/>
    <s v="No"/>
    <s v="Yes"/>
    <x v="0"/>
    <s v="No"/>
    <n v="33"/>
    <x v="2"/>
    <n v="69.196087145277204"/>
    <n v="3389.45324844283"/>
    <d v="2022-04-17T12:48:21"/>
    <x v="0"/>
    <s v="A"/>
  </r>
  <r>
    <n v="1351"/>
    <s v="Male"/>
    <x v="0"/>
    <s v="No"/>
    <s v="Yes"/>
    <s v="No"/>
    <s v="Yes"/>
    <s v="Fiber optic"/>
    <s v="No"/>
    <s v="No"/>
    <s v="No"/>
    <s v="No"/>
    <s v="No"/>
    <s v="Yes"/>
    <x v="2"/>
    <s v="No"/>
    <n v="33"/>
    <x v="2"/>
    <n v="69.174678870495498"/>
    <n v="3386.9809118130602"/>
    <d v="2022-04-17T08:00:01"/>
    <x v="0"/>
    <s v="A"/>
  </r>
  <r>
    <n v="1352"/>
    <s v="Male"/>
    <x v="0"/>
    <s v="Yes"/>
    <s v="Yes"/>
    <s v="Yes"/>
    <s v="No"/>
    <s v="DSL"/>
    <s v="No"/>
    <s v="No"/>
    <s v="No"/>
    <s v="Yes"/>
    <s v="No"/>
    <s v="No"/>
    <x v="0"/>
    <s v="Yes"/>
    <n v="33"/>
    <x v="0"/>
    <n v="69.153270595713707"/>
    <n v="3384.5085751832898"/>
    <d v="2022-04-17T03:11:42"/>
    <x v="0"/>
    <s v="A"/>
  </r>
  <r>
    <n v="1353"/>
    <s v="Male"/>
    <x v="0"/>
    <s v="No"/>
    <s v="No"/>
    <s v="Yes"/>
    <s v="No"/>
    <s v="DSL"/>
    <s v="Yes"/>
    <s v="No"/>
    <s v="No"/>
    <s v="Yes"/>
    <s v="No"/>
    <s v="Yes"/>
    <x v="1"/>
    <s v="No"/>
    <n v="33"/>
    <x v="0"/>
    <n v="69.131862320932001"/>
    <n v="3382.03623855351"/>
    <d v="2022-04-16T22:23:23"/>
    <x v="0"/>
    <s v="A"/>
  </r>
  <r>
    <n v="1354"/>
    <s v="Female"/>
    <x v="0"/>
    <s v="No"/>
    <s v="Yes"/>
    <s v="Yes"/>
    <s v="No"/>
    <s v="Fiber optic"/>
    <s v="Yes"/>
    <s v="No"/>
    <s v="No"/>
    <s v="Yes"/>
    <s v="No"/>
    <s v="No"/>
    <x v="1"/>
    <s v="No"/>
    <n v="33"/>
    <x v="3"/>
    <n v="69.110454046150195"/>
    <n v="3379.5639019237401"/>
    <d v="2022-04-16T17:35:04"/>
    <x v="0"/>
    <s v="A"/>
  </r>
  <r>
    <n v="1355"/>
    <s v="Female"/>
    <x v="0"/>
    <s v="No"/>
    <s v="No"/>
    <s v="Yes"/>
    <s v="Yes"/>
    <s v="Fiber optic"/>
    <s v="No"/>
    <s v="No"/>
    <s v="Yes"/>
    <s v="No"/>
    <s v="No"/>
    <s v="No"/>
    <x v="1"/>
    <s v="Yes"/>
    <n v="33"/>
    <x v="1"/>
    <n v="69.089045771368504"/>
    <n v="3377.0915652939598"/>
    <d v="2022-04-16T12:46:44"/>
    <x v="0"/>
    <s v="A"/>
  </r>
  <r>
    <n v="1356"/>
    <s v="Female"/>
    <x v="0"/>
    <s v="Yes"/>
    <s v="No"/>
    <s v="Yes"/>
    <s v="Yes"/>
    <s v="DSL"/>
    <s v="Yes"/>
    <s v="No"/>
    <s v="No"/>
    <s v="Yes"/>
    <s v="No"/>
    <s v="Yes"/>
    <x v="2"/>
    <s v="Yes"/>
    <n v="33"/>
    <x v="2"/>
    <n v="69.067637496586698"/>
    <n v="3374.6192286641899"/>
    <d v="2022-04-16T07:58:25"/>
    <x v="0"/>
    <s v="A"/>
  </r>
  <r>
    <n v="1357"/>
    <s v="Female"/>
    <x v="0"/>
    <s v="No"/>
    <s v="No"/>
    <s v="Yes"/>
    <s v="Yes"/>
    <s v="No"/>
    <s v="No"/>
    <s v="No"/>
    <s v="Yes"/>
    <s v="No"/>
    <s v="No"/>
    <s v="No"/>
    <x v="0"/>
    <s v="Yes"/>
    <n v="33"/>
    <x v="2"/>
    <n v="69.046229221804893"/>
    <n v="3372.14689203441"/>
    <d v="2022-04-16T03:10:06"/>
    <x v="0"/>
    <s v="A"/>
  </r>
  <r>
    <n v="1358"/>
    <s v="Female"/>
    <x v="0"/>
    <s v="Yes"/>
    <s v="No"/>
    <s v="Yes"/>
    <s v="Yes"/>
    <s v="No"/>
    <s v="No"/>
    <s v="Yes"/>
    <s v="No"/>
    <s v="No"/>
    <s v="No"/>
    <s v="Yes"/>
    <x v="0"/>
    <s v="No"/>
    <n v="33"/>
    <x v="2"/>
    <n v="69.024820947023201"/>
    <n v="3369.6745554046402"/>
    <d v="2022-04-15T22:21:47"/>
    <x v="0"/>
    <s v="A"/>
  </r>
  <r>
    <n v="1359"/>
    <s v="Male"/>
    <x v="0"/>
    <s v="Yes"/>
    <s v="No"/>
    <s v="No"/>
    <s v="No"/>
    <s v="Fiber optic"/>
    <s v="Yes"/>
    <s v="No"/>
    <s v="No"/>
    <s v="No"/>
    <s v="No"/>
    <s v="No"/>
    <x v="1"/>
    <s v="Yes"/>
    <n v="33"/>
    <x v="1"/>
    <n v="69.003412672241495"/>
    <n v="3367.2022187748598"/>
    <d v="2022-04-15T17:33:27"/>
    <x v="0"/>
    <s v="A"/>
  </r>
  <r>
    <n v="1360"/>
    <s v="Male"/>
    <x v="0"/>
    <s v="No"/>
    <s v="Yes"/>
    <s v="No"/>
    <s v="No"/>
    <s v="DSL"/>
    <s v="Yes"/>
    <s v="Yes"/>
    <s v="No"/>
    <s v="No"/>
    <s v="No"/>
    <s v="No"/>
    <x v="1"/>
    <s v="No"/>
    <n v="33"/>
    <x v="2"/>
    <n v="68.982004397459704"/>
    <n v="3364.72988214509"/>
    <d v="2022-04-15T12:45:08"/>
    <x v="0"/>
    <s v="A"/>
  </r>
  <r>
    <n v="1361"/>
    <s v="Male"/>
    <x v="0"/>
    <s v="No"/>
    <s v="Yes"/>
    <s v="Yes"/>
    <s v="No"/>
    <s v="Fiber optic"/>
    <s v="Yes"/>
    <s v="Yes"/>
    <s v="Yes"/>
    <s v="No"/>
    <s v="Yes"/>
    <s v="Yes"/>
    <x v="0"/>
    <s v="Yes"/>
    <n v="33"/>
    <x v="2"/>
    <n v="68.960596122677899"/>
    <n v="3362.2575455153101"/>
    <d v="2022-04-15T07:56:49"/>
    <x v="0"/>
    <s v="A"/>
  </r>
  <r>
    <n v="1362"/>
    <s v="Male"/>
    <x v="0"/>
    <s v="Yes"/>
    <s v="No"/>
    <s v="Yes"/>
    <s v="No"/>
    <s v="Fiber optic"/>
    <s v="No"/>
    <s v="No"/>
    <s v="No"/>
    <s v="No"/>
    <s v="No"/>
    <s v="Yes"/>
    <x v="2"/>
    <s v="Yes"/>
    <n v="33"/>
    <x v="1"/>
    <n v="68.939187847896207"/>
    <n v="3359.7852088855402"/>
    <d v="2022-04-15T03:08:30"/>
    <x v="0"/>
    <s v="A"/>
  </r>
  <r>
    <n v="1363"/>
    <s v="Male"/>
    <x v="0"/>
    <s v="No"/>
    <s v="No"/>
    <s v="Yes"/>
    <s v="No"/>
    <s v="DSL"/>
    <s v="Yes"/>
    <s v="No"/>
    <s v="Yes"/>
    <s v="No"/>
    <s v="No"/>
    <s v="No"/>
    <x v="2"/>
    <s v="Yes"/>
    <n v="33"/>
    <x v="3"/>
    <n v="68.917779573114402"/>
    <n v="3357.3128722557599"/>
    <d v="2022-04-14T22:20:10"/>
    <x v="0"/>
    <s v="A"/>
  </r>
  <r>
    <n v="1364"/>
    <s v="Male"/>
    <x v="0"/>
    <s v="No"/>
    <s v="No"/>
    <s v="Yes"/>
    <s v="No"/>
    <s v="Fiber optic"/>
    <s v="No"/>
    <s v="No"/>
    <s v="No"/>
    <s v="Yes"/>
    <s v="Yes"/>
    <s v="Yes"/>
    <x v="0"/>
    <s v="No"/>
    <n v="33"/>
    <x v="1"/>
    <n v="68.896371298332696"/>
    <n v="3354.84053562599"/>
    <d v="2022-04-14T17:31:51"/>
    <x v="0"/>
    <s v="B"/>
  </r>
  <r>
    <n v="1365"/>
    <s v="Female"/>
    <x v="0"/>
    <s v="Yes"/>
    <s v="Yes"/>
    <s v="Yes"/>
    <s v="Yes"/>
    <s v="No"/>
    <s v="No"/>
    <s v="No"/>
    <s v="No"/>
    <s v="No"/>
    <s v="No"/>
    <s v="No"/>
    <x v="1"/>
    <s v="Yes"/>
    <n v="33"/>
    <x v="0"/>
    <n v="68.874963023550904"/>
    <n v="3352.3681989962101"/>
    <d v="2022-04-14T12:43:32"/>
    <x v="0"/>
    <s v="A"/>
  </r>
  <r>
    <n v="1366"/>
    <s v="Female"/>
    <x v="0"/>
    <s v="No"/>
    <s v="No"/>
    <s v="Yes"/>
    <s v="Yes"/>
    <s v="Fiber optic"/>
    <s v="No"/>
    <s v="No"/>
    <s v="No"/>
    <s v="Yes"/>
    <s v="No"/>
    <s v="Yes"/>
    <x v="1"/>
    <s v="No"/>
    <n v="33"/>
    <x v="2"/>
    <n v="68.853554748769199"/>
    <n v="3349.8958623664398"/>
    <d v="2022-04-14T07:55:13"/>
    <x v="0"/>
    <s v="A"/>
  </r>
  <r>
    <n v="1367"/>
    <s v="Male"/>
    <x v="0"/>
    <s v="Yes"/>
    <s v="Yes"/>
    <s v="No"/>
    <s v="Yes"/>
    <s v="DSL"/>
    <s v="No"/>
    <s v="No"/>
    <s v="No"/>
    <s v="No"/>
    <s v="No"/>
    <s v="No"/>
    <x v="1"/>
    <s v="No"/>
    <n v="33"/>
    <x v="1"/>
    <n v="68.832146473987393"/>
    <n v="3347.4235257366599"/>
    <d v="2022-04-14T03:06:53"/>
    <x v="0"/>
    <s v="A"/>
  </r>
  <r>
    <n v="1368"/>
    <s v="Male"/>
    <x v="0"/>
    <s v="No"/>
    <s v="No"/>
    <s v="Yes"/>
    <s v="Yes"/>
    <s v="DSL"/>
    <s v="No"/>
    <s v="Yes"/>
    <s v="No"/>
    <s v="Yes"/>
    <s v="No"/>
    <s v="No"/>
    <x v="2"/>
    <s v="Yes"/>
    <n v="33"/>
    <x v="2"/>
    <n v="68.810738199205701"/>
    <n v="3344.9511891068901"/>
    <d v="2022-04-13T22:18:34"/>
    <x v="1"/>
    <s v="A"/>
  </r>
  <r>
    <n v="1369"/>
    <s v="Male"/>
    <x v="0"/>
    <s v="Yes"/>
    <s v="Yes"/>
    <s v="Yes"/>
    <s v="Yes"/>
    <s v="Fiber optic"/>
    <s v="Yes"/>
    <s v="Yes"/>
    <s v="No"/>
    <s v="No"/>
    <s v="Yes"/>
    <s v="No"/>
    <x v="1"/>
    <s v="Yes"/>
    <n v="33"/>
    <x v="3"/>
    <n v="68.789329924423896"/>
    <n v="3342.4788524771202"/>
    <d v="2022-04-13T17:30:15"/>
    <x v="0"/>
    <s v="A"/>
  </r>
  <r>
    <n v="1370"/>
    <s v="Male"/>
    <x v="0"/>
    <s v="No"/>
    <s v="Yes"/>
    <s v="Yes"/>
    <s v="Yes"/>
    <s v="Fiber optic"/>
    <s v="No"/>
    <s v="No"/>
    <s v="No"/>
    <s v="No"/>
    <s v="No"/>
    <s v="Yes"/>
    <x v="1"/>
    <s v="No"/>
    <n v="33"/>
    <x v="2"/>
    <n v="68.767921649642204"/>
    <n v="3340.0065158473399"/>
    <d v="2022-04-13T12:41:56"/>
    <x v="0"/>
    <s v="A"/>
  </r>
  <r>
    <n v="1371"/>
    <s v="Male"/>
    <x v="0"/>
    <s v="No"/>
    <s v="No"/>
    <s v="Yes"/>
    <s v="Yes"/>
    <s v="Fiber optic"/>
    <s v="No"/>
    <s v="No"/>
    <s v="No"/>
    <s v="No"/>
    <s v="No"/>
    <s v="Yes"/>
    <x v="1"/>
    <s v="No"/>
    <n v="33"/>
    <x v="0"/>
    <n v="68.746513374860399"/>
    <n v="3337.53417921757"/>
    <d v="2022-04-13T07:53:36"/>
    <x v="0"/>
    <s v="A"/>
  </r>
  <r>
    <n v="1372"/>
    <s v="Male"/>
    <x v="0"/>
    <s v="No"/>
    <s v="Yes"/>
    <s v="Yes"/>
    <s v="Yes"/>
    <s v="DSL"/>
    <s v="No"/>
    <s v="Yes"/>
    <s v="Yes"/>
    <s v="No"/>
    <s v="Yes"/>
    <s v="Yes"/>
    <x v="1"/>
    <s v="Yes"/>
    <n v="33"/>
    <x v="1"/>
    <n v="68.725105100078693"/>
    <n v="3335.0618425877901"/>
    <d v="2022-04-13T03:05:17"/>
    <x v="0"/>
    <s v="A"/>
  </r>
  <r>
    <n v="1373"/>
    <s v="Female"/>
    <x v="0"/>
    <s v="No"/>
    <s v="Yes"/>
    <s v="Yes"/>
    <s v="No"/>
    <s v="No"/>
    <s v="Yes"/>
    <s v="No"/>
    <s v="Yes"/>
    <s v="No"/>
    <s v="No"/>
    <s v="No"/>
    <x v="1"/>
    <s v="Yes"/>
    <n v="33"/>
    <x v="3"/>
    <n v="68.703696825296902"/>
    <n v="3332.5895059580198"/>
    <d v="2022-04-12T22:16:58"/>
    <x v="0"/>
    <s v="A"/>
  </r>
  <r>
    <n v="1374"/>
    <s v="Female"/>
    <x v="0"/>
    <s v="Yes"/>
    <s v="No"/>
    <s v="No"/>
    <s v="No"/>
    <s v="DSL"/>
    <s v="Yes"/>
    <s v="No"/>
    <s v="No"/>
    <s v="No"/>
    <s v="Yes"/>
    <s v="No"/>
    <x v="0"/>
    <s v="Yes"/>
    <n v="33"/>
    <x v="1"/>
    <n v="68.682288550515196"/>
    <n v="3330.1171693282399"/>
    <d v="2022-04-12T17:28:39"/>
    <x v="0"/>
    <s v="A"/>
  </r>
  <r>
    <n v="1375"/>
    <s v="Female"/>
    <x v="0"/>
    <s v="No"/>
    <s v="Yes"/>
    <s v="Yes"/>
    <s v="No"/>
    <s v="No"/>
    <s v="No"/>
    <s v="Yes"/>
    <s v="Yes"/>
    <s v="No"/>
    <s v="No"/>
    <s v="No"/>
    <x v="1"/>
    <s v="Yes"/>
    <n v="33"/>
    <x v="0"/>
    <n v="68.660880275733405"/>
    <n v="3327.6448326984701"/>
    <d v="2022-04-12T12:40:19"/>
    <x v="0"/>
    <s v="A"/>
  </r>
  <r>
    <n v="1376"/>
    <s v="Female"/>
    <x v="0"/>
    <s v="No"/>
    <s v="Yes"/>
    <s v="Yes"/>
    <s v="No"/>
    <s v="Fiber optic"/>
    <s v="Yes"/>
    <s v="No"/>
    <s v="Yes"/>
    <s v="Yes"/>
    <s v="No"/>
    <s v="Yes"/>
    <x v="1"/>
    <s v="Yes"/>
    <n v="33"/>
    <x v="3"/>
    <n v="68.639472000951599"/>
    <n v="3325.1724960686902"/>
    <d v="2022-04-12T07:52:00"/>
    <x v="0"/>
    <s v="A"/>
  </r>
  <r>
    <n v="1377"/>
    <s v="Male"/>
    <x v="0"/>
    <s v="No"/>
    <s v="Yes"/>
    <s v="Yes"/>
    <s v="No"/>
    <s v="Fiber optic"/>
    <s v="No"/>
    <s v="No"/>
    <s v="No"/>
    <s v="No"/>
    <s v="No"/>
    <s v="Yes"/>
    <x v="1"/>
    <s v="No"/>
    <n v="33"/>
    <x v="2"/>
    <n v="68.618063726169893"/>
    <n v="3322.7001594389199"/>
    <d v="2022-04-12T03:03:41"/>
    <x v="0"/>
    <s v="A"/>
  </r>
  <r>
    <n v="1378"/>
    <s v="Female"/>
    <x v="0"/>
    <s v="No"/>
    <s v="Yes"/>
    <s v="No"/>
    <s v="No"/>
    <s v="DSL"/>
    <s v="No"/>
    <s v="No"/>
    <s v="No"/>
    <s v="Yes"/>
    <s v="Yes"/>
    <s v="No"/>
    <x v="0"/>
    <s v="No"/>
    <n v="33"/>
    <x v="2"/>
    <n v="68.596655451388102"/>
    <n v="3320.22782280914"/>
    <d v="2022-04-11T22:15:22"/>
    <x v="0"/>
    <s v="A"/>
  </r>
  <r>
    <n v="1379"/>
    <s v="Female"/>
    <x v="0"/>
    <s v="No"/>
    <s v="No"/>
    <s v="Yes"/>
    <s v="No"/>
    <s v="DSL"/>
    <s v="No"/>
    <s v="Yes"/>
    <s v="No"/>
    <s v="No"/>
    <s v="Yes"/>
    <s v="No"/>
    <x v="1"/>
    <s v="Yes"/>
    <n v="33"/>
    <x v="3"/>
    <n v="68.575247176606396"/>
    <n v="3317.7554861793701"/>
    <d v="2022-04-11T17:27:02"/>
    <x v="0"/>
    <s v="A"/>
  </r>
  <r>
    <n v="1380"/>
    <s v="Female"/>
    <x v="0"/>
    <s v="No"/>
    <s v="Yes"/>
    <s v="No"/>
    <s v="No"/>
    <s v="DSL"/>
    <s v="Yes"/>
    <s v="No"/>
    <s v="Yes"/>
    <s v="Yes"/>
    <s v="No"/>
    <s v="Yes"/>
    <x v="2"/>
    <s v="Yes"/>
    <n v="33"/>
    <x v="2"/>
    <n v="68.553838901824605"/>
    <n v="3315.2831495495898"/>
    <d v="2022-04-11T12:38:43"/>
    <x v="0"/>
    <s v="A"/>
  </r>
  <r>
    <n v="1381"/>
    <s v="Female"/>
    <x v="0"/>
    <s v="No"/>
    <s v="No"/>
    <s v="Yes"/>
    <s v="Yes"/>
    <s v="Fiber optic"/>
    <s v="Yes"/>
    <s v="No"/>
    <s v="Yes"/>
    <s v="No"/>
    <s v="No"/>
    <s v="No"/>
    <x v="0"/>
    <s v="Yes"/>
    <n v="33"/>
    <x v="0"/>
    <n v="68.532430627042899"/>
    <n v="3312.8108129198199"/>
    <d v="2022-04-11T07:50:24"/>
    <x v="0"/>
    <s v="A"/>
  </r>
  <r>
    <n v="1382"/>
    <s v="Female"/>
    <x v="0"/>
    <s v="Yes"/>
    <s v="No"/>
    <s v="Yes"/>
    <s v="No"/>
    <s v="No"/>
    <s v="Yes"/>
    <s v="Yes"/>
    <s v="Yes"/>
    <s v="No"/>
    <s v="No"/>
    <s v="Yes"/>
    <x v="1"/>
    <s v="Yes"/>
    <n v="33"/>
    <x v="0"/>
    <n v="68.511022352261094"/>
    <n v="3310.33847629004"/>
    <d v="2022-04-11T03:02:05"/>
    <x v="1"/>
    <s v="B"/>
  </r>
  <r>
    <n v="1383"/>
    <s v="Female"/>
    <x v="0"/>
    <s v="No"/>
    <s v="No"/>
    <s v="Yes"/>
    <s v="Yes"/>
    <s v="Fiber optic"/>
    <s v="Yes"/>
    <s v="Yes"/>
    <s v="No"/>
    <s v="Yes"/>
    <s v="No"/>
    <s v="Yes"/>
    <x v="0"/>
    <s v="Yes"/>
    <n v="33"/>
    <x v="3"/>
    <n v="68.489614077479402"/>
    <n v="3307.8661396602702"/>
    <d v="2022-04-10T22:13:45"/>
    <x v="0"/>
    <s v="A"/>
  </r>
  <r>
    <n v="1384"/>
    <s v="Male"/>
    <x v="0"/>
    <s v="Yes"/>
    <s v="No"/>
    <s v="No"/>
    <s v="No"/>
    <s v="DSL"/>
    <s v="Yes"/>
    <s v="Yes"/>
    <s v="No"/>
    <s v="No"/>
    <s v="No"/>
    <s v="Yes"/>
    <x v="1"/>
    <s v="No"/>
    <n v="33"/>
    <x v="2"/>
    <n v="68.468205802697597"/>
    <n v="3305.3938030304898"/>
    <d v="2022-04-10T17:25:26"/>
    <x v="0"/>
    <s v="A"/>
  </r>
  <r>
    <n v="1385"/>
    <s v="Female"/>
    <x v="0"/>
    <s v="No"/>
    <s v="Yes"/>
    <s v="Yes"/>
    <s v="No"/>
    <s v="DSL"/>
    <s v="No"/>
    <s v="No"/>
    <s v="No"/>
    <s v="No"/>
    <s v="Yes"/>
    <s v="No"/>
    <x v="1"/>
    <s v="Yes"/>
    <n v="33"/>
    <x v="0"/>
    <n v="68.446797527915905"/>
    <n v="3302.92146640072"/>
    <d v="2022-04-10T12:37:07"/>
    <x v="0"/>
    <s v="A"/>
  </r>
  <r>
    <n v="1386"/>
    <s v="Female"/>
    <x v="0"/>
    <s v="Yes"/>
    <s v="Yes"/>
    <s v="Yes"/>
    <s v="Yes"/>
    <s v="No"/>
    <s v="No"/>
    <s v="No"/>
    <s v="No"/>
    <s v="No"/>
    <s v="Yes"/>
    <s v="No"/>
    <x v="0"/>
    <s v="No"/>
    <n v="33"/>
    <x v="2"/>
    <n v="68.425389253134099"/>
    <n v="3300.4491297709501"/>
    <d v="2022-04-10T07:48:48"/>
    <x v="0"/>
    <s v="A"/>
  </r>
  <r>
    <n v="1387"/>
    <s v="Female"/>
    <x v="0"/>
    <s v="No"/>
    <s v="Yes"/>
    <s v="Yes"/>
    <s v="No"/>
    <s v="Fiber optic"/>
    <s v="No"/>
    <s v="Yes"/>
    <s v="No"/>
    <s v="No"/>
    <s v="Yes"/>
    <s v="No"/>
    <x v="1"/>
    <s v="Yes"/>
    <n v="33"/>
    <x v="0"/>
    <n v="68.403980978352394"/>
    <n v="3297.9767931411702"/>
    <d v="2022-04-10T03:00:28"/>
    <x v="0"/>
    <s v="A"/>
  </r>
  <r>
    <n v="1388"/>
    <s v="Female"/>
    <x v="0"/>
    <s v="No"/>
    <s v="No"/>
    <s v="Yes"/>
    <s v="No"/>
    <s v="DSL"/>
    <s v="Yes"/>
    <s v="Yes"/>
    <s v="Yes"/>
    <s v="Yes"/>
    <s v="No"/>
    <s v="No"/>
    <x v="2"/>
    <s v="No"/>
    <n v="33"/>
    <x v="0"/>
    <n v="68.382572703570602"/>
    <n v="3295.5044565113999"/>
    <d v="2022-04-09T22:12:09"/>
    <x v="0"/>
    <s v="A"/>
  </r>
  <r>
    <n v="1389"/>
    <s v="Female"/>
    <x v="0"/>
    <s v="No"/>
    <s v="Yes"/>
    <s v="Yes"/>
    <s v="No"/>
    <s v="Fiber optic"/>
    <s v="No"/>
    <s v="Yes"/>
    <s v="No"/>
    <s v="No"/>
    <s v="Yes"/>
    <s v="Yes"/>
    <x v="0"/>
    <s v="No"/>
    <n v="33"/>
    <x v="1"/>
    <n v="68.361164428788797"/>
    <n v="3293.03211988162"/>
    <d v="2022-04-09T17:23:50"/>
    <x v="1"/>
    <s v="A"/>
  </r>
  <r>
    <n v="1390"/>
    <s v="Male"/>
    <x v="0"/>
    <s v="No"/>
    <s v="No"/>
    <s v="No"/>
    <s v="No"/>
    <s v="Fiber optic"/>
    <s v="No"/>
    <s v="No"/>
    <s v="Yes"/>
    <s v="No"/>
    <s v="Yes"/>
    <s v="No"/>
    <x v="2"/>
    <s v="No"/>
    <n v="33"/>
    <x v="2"/>
    <n v="68.339756154007105"/>
    <n v="3290.5597832518501"/>
    <d v="2022-04-09T12:35:31"/>
    <x v="0"/>
    <s v="A"/>
  </r>
  <r>
    <n v="1391"/>
    <s v="Male"/>
    <x v="0"/>
    <s v="No"/>
    <s v="No"/>
    <s v="Yes"/>
    <s v="No"/>
    <s v="Fiber optic"/>
    <s v="No"/>
    <s v="No"/>
    <s v="No"/>
    <s v="Yes"/>
    <s v="Yes"/>
    <s v="No"/>
    <x v="1"/>
    <s v="Yes"/>
    <n v="33"/>
    <x v="2"/>
    <n v="68.3183478792253"/>
    <n v="3288.0874466220698"/>
    <d v="2022-04-09T07:47:11"/>
    <x v="0"/>
    <s v="A"/>
  </r>
  <r>
    <n v="1392"/>
    <s v="Male"/>
    <x v="0"/>
    <s v="No"/>
    <s v="No"/>
    <s v="No"/>
    <s v="No"/>
    <s v="Fiber optic"/>
    <s v="No"/>
    <s v="Yes"/>
    <s v="No"/>
    <s v="Yes"/>
    <s v="Yes"/>
    <s v="Yes"/>
    <x v="1"/>
    <s v="No"/>
    <n v="33"/>
    <x v="1"/>
    <n v="68.296939604443594"/>
    <n v="3285.6151099922999"/>
    <d v="2022-04-09T02:58:52"/>
    <x v="0"/>
    <s v="A"/>
  </r>
  <r>
    <n v="1393"/>
    <s v="Male"/>
    <x v="0"/>
    <s v="Yes"/>
    <s v="Yes"/>
    <s v="Yes"/>
    <s v="No"/>
    <s v="DSL"/>
    <s v="No"/>
    <s v="No"/>
    <s v="No"/>
    <s v="Yes"/>
    <s v="No"/>
    <s v="No"/>
    <x v="1"/>
    <s v="Yes"/>
    <n v="33"/>
    <x v="3"/>
    <n v="68.275531329661803"/>
    <n v="3283.1427733625201"/>
    <d v="2022-04-08T22:10:33"/>
    <x v="0"/>
    <s v="A"/>
  </r>
  <r>
    <n v="1394"/>
    <s v="Female"/>
    <x v="0"/>
    <s v="Yes"/>
    <s v="No"/>
    <s v="Yes"/>
    <s v="No"/>
    <s v="Fiber optic"/>
    <s v="No"/>
    <s v="No"/>
    <s v="No"/>
    <s v="No"/>
    <s v="Yes"/>
    <s v="No"/>
    <x v="0"/>
    <s v="Yes"/>
    <n v="33"/>
    <x v="2"/>
    <n v="68.254123054880097"/>
    <n v="3280.6704367327502"/>
    <d v="2022-04-08T17:22:14"/>
    <x v="0"/>
    <s v="A"/>
  </r>
  <r>
    <n v="1395"/>
    <s v="Male"/>
    <x v="0"/>
    <s v="No"/>
    <s v="No"/>
    <s v="No"/>
    <s v="Yes"/>
    <s v="No"/>
    <s v="No"/>
    <s v="No"/>
    <s v="No"/>
    <s v="No"/>
    <s v="Yes"/>
    <s v="Yes"/>
    <x v="1"/>
    <s v="Yes"/>
    <n v="33"/>
    <x v="1"/>
    <n v="68.232714780098306"/>
    <n v="3278.1981001029699"/>
    <d v="2022-04-08T12:33:54"/>
    <x v="0"/>
    <s v="A"/>
  </r>
  <r>
    <n v="1396"/>
    <s v="Male"/>
    <x v="0"/>
    <s v="Yes"/>
    <s v="No"/>
    <s v="Yes"/>
    <s v="No"/>
    <s v="Fiber optic"/>
    <s v="No"/>
    <s v="No"/>
    <s v="No"/>
    <s v="Yes"/>
    <s v="Yes"/>
    <s v="No"/>
    <x v="0"/>
    <s v="No"/>
    <n v="33"/>
    <x v="2"/>
    <n v="68.2113065053166"/>
    <n v="3275.7257634732"/>
    <d v="2022-04-08T07:45:35"/>
    <x v="0"/>
    <s v="A"/>
  </r>
  <r>
    <n v="1397"/>
    <s v="Male"/>
    <x v="0"/>
    <s v="Yes"/>
    <s v="Yes"/>
    <s v="Yes"/>
    <s v="No"/>
    <s v="No"/>
    <s v="Yes"/>
    <s v="Yes"/>
    <s v="Yes"/>
    <s v="No"/>
    <s v="Yes"/>
    <s v="No"/>
    <x v="0"/>
    <s v="No"/>
    <n v="33"/>
    <x v="2"/>
    <n v="68.189898230534794"/>
    <n v="3273.2534268434201"/>
    <d v="2022-04-08T02:57:16"/>
    <x v="0"/>
    <s v="A"/>
  </r>
  <r>
    <n v="1398"/>
    <s v="Female"/>
    <x v="0"/>
    <s v="Yes"/>
    <s v="No"/>
    <s v="No"/>
    <s v="Yes"/>
    <s v="Fiber optic"/>
    <s v="Yes"/>
    <s v="Yes"/>
    <s v="Yes"/>
    <s v="No"/>
    <s v="Yes"/>
    <s v="No"/>
    <x v="2"/>
    <s v="No"/>
    <n v="33"/>
    <x v="2"/>
    <n v="68.168489955753103"/>
    <n v="3270.7810902136498"/>
    <d v="2022-04-07T22:08:57"/>
    <x v="0"/>
    <s v="A"/>
  </r>
  <r>
    <n v="1399"/>
    <s v="Female"/>
    <x v="0"/>
    <s v="Yes"/>
    <s v="Yes"/>
    <s v="Yes"/>
    <s v="No"/>
    <s v="DSL"/>
    <s v="No"/>
    <s v="No"/>
    <s v="No"/>
    <s v="No"/>
    <s v="Yes"/>
    <s v="No"/>
    <x v="1"/>
    <s v="Yes"/>
    <n v="33"/>
    <x v="2"/>
    <n v="68.147081680971297"/>
    <n v="3268.3087535838699"/>
    <d v="2022-04-07T17:20:38"/>
    <x v="0"/>
    <s v="A"/>
  </r>
  <r>
    <n v="1400"/>
    <s v="Male"/>
    <x v="0"/>
    <s v="No"/>
    <s v="Yes"/>
    <s v="Yes"/>
    <s v="No"/>
    <s v="No"/>
    <s v="Yes"/>
    <s v="No"/>
    <s v="Yes"/>
    <s v="Yes"/>
    <s v="Yes"/>
    <s v="No"/>
    <x v="1"/>
    <s v="Yes"/>
    <n v="33"/>
    <x v="2"/>
    <n v="68.125673406189605"/>
    <n v="3265.8364169541001"/>
    <d v="2022-04-07T12:32:18"/>
    <x v="0"/>
    <s v="A"/>
  </r>
  <r>
    <n v="1401"/>
    <s v="Male"/>
    <x v="0"/>
    <s v="No"/>
    <s v="No"/>
    <s v="Yes"/>
    <s v="Yes"/>
    <s v="DSL"/>
    <s v="No"/>
    <s v="No"/>
    <s v="No"/>
    <s v="No"/>
    <s v="No"/>
    <s v="No"/>
    <x v="1"/>
    <s v="No"/>
    <n v="33"/>
    <x v="1"/>
    <n v="68.1042651314078"/>
    <n v="3263.3640803243302"/>
    <d v="2022-04-07T07:43:59"/>
    <x v="0"/>
    <s v="A"/>
  </r>
  <r>
    <n v="1402"/>
    <s v="Female"/>
    <x v="0"/>
    <s v="No"/>
    <s v="No"/>
    <s v="Yes"/>
    <s v="Yes"/>
    <s v="Fiber optic"/>
    <s v="No"/>
    <s v="Yes"/>
    <s v="No"/>
    <s v="Yes"/>
    <s v="No"/>
    <s v="No"/>
    <x v="2"/>
    <s v="Yes"/>
    <n v="33"/>
    <x v="0"/>
    <n v="68.082856856626094"/>
    <n v="3260.8917436945499"/>
    <d v="2022-04-07T02:55:40"/>
    <x v="0"/>
    <s v="A"/>
  </r>
  <r>
    <n v="1403"/>
    <s v="Male"/>
    <x v="0"/>
    <s v="No"/>
    <s v="Yes"/>
    <s v="Yes"/>
    <s v="No"/>
    <s v="DSL"/>
    <s v="Yes"/>
    <s v="No"/>
    <s v="Yes"/>
    <s v="No"/>
    <s v="No"/>
    <s v="No"/>
    <x v="0"/>
    <s v="Yes"/>
    <n v="33"/>
    <x v="2"/>
    <n v="68.061448581844303"/>
    <n v="3258.41940706478"/>
    <d v="2022-04-06T22:07:21"/>
    <x v="0"/>
    <s v="A"/>
  </r>
  <r>
    <n v="1404"/>
    <s v="Male"/>
    <x v="0"/>
    <s v="Yes"/>
    <s v="No"/>
    <s v="Yes"/>
    <s v="Yes"/>
    <s v="No"/>
    <s v="Yes"/>
    <s v="No"/>
    <s v="No"/>
    <s v="Yes"/>
    <s v="No"/>
    <s v="No"/>
    <x v="1"/>
    <s v="Yes"/>
    <n v="33"/>
    <x v="3"/>
    <n v="68.040040307062597"/>
    <n v="3255.9470704350001"/>
    <d v="2022-04-06T17:19:01"/>
    <x v="0"/>
    <s v="A"/>
  </r>
  <r>
    <n v="1405"/>
    <s v="Female"/>
    <x v="0"/>
    <s v="No"/>
    <s v="Yes"/>
    <s v="Yes"/>
    <s v="Yes"/>
    <s v="No"/>
    <s v="Yes"/>
    <s v="No"/>
    <s v="No"/>
    <s v="No"/>
    <s v="No"/>
    <s v="Yes"/>
    <x v="2"/>
    <s v="No"/>
    <n v="33"/>
    <x v="3"/>
    <n v="68.018632032280806"/>
    <n v="3253.4747338052298"/>
    <d v="2022-04-06T12:30:42"/>
    <x v="0"/>
    <s v="A"/>
  </r>
  <r>
    <n v="1406"/>
    <s v="Female"/>
    <x v="0"/>
    <s v="No"/>
    <s v="No"/>
    <s v="No"/>
    <s v="Yes"/>
    <s v="Fiber optic"/>
    <s v="No"/>
    <s v="No"/>
    <s v="No"/>
    <s v="No"/>
    <s v="Yes"/>
    <s v="Yes"/>
    <x v="2"/>
    <s v="Yes"/>
    <n v="33"/>
    <x v="3"/>
    <n v="67.997223757499"/>
    <n v="3251.0023971754499"/>
    <d v="2022-04-06T07:42:23"/>
    <x v="0"/>
    <s v="A"/>
  </r>
  <r>
    <n v="1407"/>
    <s v="Female"/>
    <x v="0"/>
    <s v="Yes"/>
    <s v="No"/>
    <s v="Yes"/>
    <s v="No"/>
    <s v="No"/>
    <s v="Yes"/>
    <s v="No"/>
    <s v="No"/>
    <s v="Yes"/>
    <s v="Yes"/>
    <s v="No"/>
    <x v="0"/>
    <s v="No"/>
    <n v="33"/>
    <x v="2"/>
    <n v="67.975815482717294"/>
    <n v="3248.53006054568"/>
    <d v="2022-04-06T02:54:04"/>
    <x v="0"/>
    <s v="A"/>
  </r>
  <r>
    <n v="1408"/>
    <s v="Female"/>
    <x v="0"/>
    <s v="Yes"/>
    <s v="No"/>
    <s v="Yes"/>
    <s v="No"/>
    <s v="Fiber optic"/>
    <s v="No"/>
    <s v="Yes"/>
    <s v="Yes"/>
    <s v="Yes"/>
    <s v="No"/>
    <s v="No"/>
    <x v="0"/>
    <s v="Yes"/>
    <n v="33"/>
    <x v="3"/>
    <n v="67.954407207935503"/>
    <n v="3246.0577239159002"/>
    <d v="2022-04-05T22:05:44"/>
    <x v="0"/>
    <s v="A"/>
  </r>
  <r>
    <n v="1409"/>
    <s v="Male"/>
    <x v="0"/>
    <s v="No"/>
    <s v="No"/>
    <s v="Yes"/>
    <s v="No"/>
    <s v="Fiber optic"/>
    <s v="No"/>
    <s v="No"/>
    <s v="Yes"/>
    <s v="Yes"/>
    <s v="Yes"/>
    <s v="No"/>
    <x v="2"/>
    <s v="No"/>
    <n v="33"/>
    <x v="2"/>
    <n v="67.932998933153797"/>
    <n v="3243.5853872861298"/>
    <d v="2022-04-05T17:17:25"/>
    <x v="0"/>
    <s v="A"/>
  </r>
  <r>
    <n v="1410"/>
    <s v="Male"/>
    <x v="0"/>
    <s v="Yes"/>
    <s v="No"/>
    <s v="No"/>
    <s v="No"/>
    <s v="No"/>
    <s v="Yes"/>
    <s v="No"/>
    <s v="Yes"/>
    <s v="No"/>
    <s v="No"/>
    <s v="Yes"/>
    <x v="0"/>
    <s v="Yes"/>
    <n v="33"/>
    <x v="0"/>
    <n v="67.911590658372006"/>
    <n v="3241.11305065635"/>
    <d v="2022-04-05T12:29:06"/>
    <x v="0"/>
    <s v="A"/>
  </r>
  <r>
    <n v="1411"/>
    <s v="Female"/>
    <x v="0"/>
    <s v="Yes"/>
    <s v="No"/>
    <s v="Yes"/>
    <s v="Yes"/>
    <s v="Fiber optic"/>
    <s v="No"/>
    <s v="No"/>
    <s v="No"/>
    <s v="No"/>
    <s v="No"/>
    <s v="No"/>
    <x v="1"/>
    <s v="Yes"/>
    <n v="33"/>
    <x v="0"/>
    <n v="67.8901823835903"/>
    <n v="3238.6407140265801"/>
    <d v="2022-04-05T07:40:47"/>
    <x v="0"/>
    <s v="A"/>
  </r>
  <r>
    <n v="1412"/>
    <s v="Male"/>
    <x v="0"/>
    <s v="No"/>
    <s v="No"/>
    <s v="Yes"/>
    <s v="No"/>
    <s v="DSL"/>
    <s v="Yes"/>
    <s v="Yes"/>
    <s v="Yes"/>
    <s v="No"/>
    <s v="Yes"/>
    <s v="Yes"/>
    <x v="1"/>
    <s v="Yes"/>
    <n v="33"/>
    <x v="3"/>
    <n v="67.868774108808495"/>
    <n v="3236.1683773968002"/>
    <d v="2022-04-05T02:52:27"/>
    <x v="0"/>
    <s v="A"/>
  </r>
  <r>
    <n v="1413"/>
    <s v="Female"/>
    <x v="0"/>
    <s v="No"/>
    <s v="No"/>
    <s v="Yes"/>
    <s v="No"/>
    <s v="No"/>
    <s v="No"/>
    <s v="No"/>
    <s v="No"/>
    <s v="No"/>
    <s v="No"/>
    <s v="No"/>
    <x v="1"/>
    <s v="No"/>
    <n v="33"/>
    <x v="1"/>
    <n v="67.847365834026803"/>
    <n v="3233.6960407670299"/>
    <d v="2022-04-04T22:04:08"/>
    <x v="0"/>
    <s v="A"/>
  </r>
  <r>
    <n v="1414"/>
    <s v="Female"/>
    <x v="0"/>
    <s v="No"/>
    <s v="Yes"/>
    <s v="Yes"/>
    <s v="No"/>
    <s v="No"/>
    <s v="No"/>
    <s v="No"/>
    <s v="No"/>
    <s v="No"/>
    <s v="No"/>
    <s v="No"/>
    <x v="1"/>
    <s v="Yes"/>
    <n v="33"/>
    <x v="0"/>
    <n v="67.825957559244998"/>
    <n v="3231.22370413725"/>
    <d v="2022-04-04T17:15:49"/>
    <x v="0"/>
    <s v="A"/>
  </r>
  <r>
    <n v="1415"/>
    <s v="Female"/>
    <x v="0"/>
    <s v="Yes"/>
    <s v="No"/>
    <s v="Yes"/>
    <s v="Yes"/>
    <s v="Fiber optic"/>
    <s v="No"/>
    <s v="No"/>
    <s v="No"/>
    <s v="No"/>
    <s v="Yes"/>
    <s v="No"/>
    <x v="2"/>
    <s v="Yes"/>
    <n v="33"/>
    <x v="2"/>
    <n v="67.804549284463306"/>
    <n v="3228.7513675074802"/>
    <d v="2022-04-04T12:27:30"/>
    <x v="0"/>
    <s v="A"/>
  </r>
  <r>
    <n v="1416"/>
    <s v="Female"/>
    <x v="0"/>
    <s v="Yes"/>
    <s v="No"/>
    <s v="No"/>
    <s v="Yes"/>
    <s v="Fiber optic"/>
    <s v="Yes"/>
    <s v="Yes"/>
    <s v="Yes"/>
    <s v="Yes"/>
    <s v="No"/>
    <s v="Yes"/>
    <x v="0"/>
    <s v="Yes"/>
    <n v="33"/>
    <x v="2"/>
    <n v="67.783141009681501"/>
    <n v="3226.2790308777098"/>
    <d v="2022-04-04T07:39:10"/>
    <x v="0"/>
    <s v="A"/>
  </r>
  <r>
    <n v="1417"/>
    <s v="Female"/>
    <x v="0"/>
    <s v="No"/>
    <s v="No"/>
    <s v="No"/>
    <s v="Yes"/>
    <s v="No"/>
    <s v="No"/>
    <s v="Yes"/>
    <s v="No"/>
    <s v="No"/>
    <s v="No"/>
    <s v="No"/>
    <x v="1"/>
    <s v="Yes"/>
    <n v="33"/>
    <x v="0"/>
    <n v="67.761732734899795"/>
    <n v="3223.80669424793"/>
    <d v="2022-04-04T02:50:51"/>
    <x v="0"/>
    <s v="B"/>
  </r>
  <r>
    <n v="1418"/>
    <s v="Male"/>
    <x v="0"/>
    <s v="No"/>
    <s v="No"/>
    <s v="No"/>
    <s v="No"/>
    <s v="No"/>
    <s v="Yes"/>
    <s v="No"/>
    <s v="No"/>
    <s v="No"/>
    <s v="No"/>
    <s v="No"/>
    <x v="0"/>
    <s v="Yes"/>
    <n v="32"/>
    <x v="2"/>
    <n v="67.740324460118003"/>
    <n v="3221.3343576181601"/>
    <d v="2022-04-03T22:02:32"/>
    <x v="0"/>
    <s v="A"/>
  </r>
  <r>
    <n v="1419"/>
    <s v="Female"/>
    <x v="0"/>
    <s v="No"/>
    <s v="No"/>
    <s v="Yes"/>
    <s v="No"/>
    <s v="DSL"/>
    <s v="Yes"/>
    <s v="Yes"/>
    <s v="Yes"/>
    <s v="No"/>
    <s v="No"/>
    <s v="Yes"/>
    <x v="1"/>
    <s v="Yes"/>
    <n v="32"/>
    <x v="0"/>
    <n v="67.718916185336198"/>
    <n v="3218.8620209883802"/>
    <d v="2022-04-03T17:14:13"/>
    <x v="0"/>
    <s v="A"/>
  </r>
  <r>
    <n v="1420"/>
    <s v="Male"/>
    <x v="0"/>
    <s v="No"/>
    <s v="No"/>
    <s v="Yes"/>
    <s v="No"/>
    <s v="DSL"/>
    <s v="No"/>
    <s v="No"/>
    <s v="No"/>
    <s v="Yes"/>
    <s v="Yes"/>
    <s v="Yes"/>
    <x v="1"/>
    <s v="No"/>
    <n v="32"/>
    <x v="2"/>
    <n v="67.697507910554506"/>
    <n v="3216.3896843586099"/>
    <d v="2022-04-03T12:25:53"/>
    <x v="1"/>
    <s v="A"/>
  </r>
  <r>
    <n v="1421"/>
    <s v="Male"/>
    <x v="0"/>
    <s v="Yes"/>
    <s v="No"/>
    <s v="Yes"/>
    <s v="No"/>
    <s v="Fiber optic"/>
    <s v="No"/>
    <s v="No"/>
    <s v="No"/>
    <s v="No"/>
    <s v="Yes"/>
    <s v="No"/>
    <x v="0"/>
    <s v="No"/>
    <n v="32"/>
    <x v="0"/>
    <n v="67.676099635772701"/>
    <n v="3213.91734772883"/>
    <d v="2022-04-03T07:37:34"/>
    <x v="1"/>
    <s v="A"/>
  </r>
  <r>
    <n v="1422"/>
    <s v="Male"/>
    <x v="0"/>
    <s v="Yes"/>
    <s v="Yes"/>
    <s v="Yes"/>
    <s v="Yes"/>
    <s v="Fiber optic"/>
    <s v="Yes"/>
    <s v="No"/>
    <s v="No"/>
    <s v="Yes"/>
    <s v="No"/>
    <s v="Yes"/>
    <x v="1"/>
    <s v="Yes"/>
    <n v="32"/>
    <x v="2"/>
    <n v="67.654691360990995"/>
    <n v="3211.4450110990601"/>
    <d v="2022-04-03T02:49:15"/>
    <x v="1"/>
    <s v="A"/>
  </r>
  <r>
    <n v="1423"/>
    <s v="Female"/>
    <x v="0"/>
    <s v="Yes"/>
    <s v="No"/>
    <s v="No"/>
    <s v="No"/>
    <s v="DSL"/>
    <s v="Yes"/>
    <s v="Yes"/>
    <s v="Yes"/>
    <s v="No"/>
    <s v="No"/>
    <s v="No"/>
    <x v="2"/>
    <s v="Yes"/>
    <n v="32"/>
    <x v="1"/>
    <n v="67.633283086209204"/>
    <n v="3208.9726744692798"/>
    <d v="2022-04-02T22:00:56"/>
    <x v="1"/>
    <s v="A"/>
  </r>
  <r>
    <n v="1424"/>
    <s v="Female"/>
    <x v="0"/>
    <s v="No"/>
    <s v="Yes"/>
    <s v="No"/>
    <s v="No"/>
    <s v="No"/>
    <s v="No"/>
    <s v="No"/>
    <s v="No"/>
    <s v="No"/>
    <s v="No"/>
    <s v="No"/>
    <x v="2"/>
    <s v="Yes"/>
    <n v="32"/>
    <x v="2"/>
    <n v="67.611874811427498"/>
    <n v="3206.5003378395099"/>
    <d v="2022-04-02T17:12:36"/>
    <x v="1"/>
    <s v="A"/>
  </r>
  <r>
    <n v="1425"/>
    <s v="Female"/>
    <x v="1"/>
    <s v="No"/>
    <s v="No"/>
    <s v="Yes"/>
    <s v="Yes"/>
    <s v="Fiber optic"/>
    <s v="No"/>
    <s v="No"/>
    <s v="No"/>
    <s v="No"/>
    <s v="No"/>
    <s v="Yes"/>
    <x v="1"/>
    <s v="No"/>
    <n v="32"/>
    <x v="1"/>
    <n v="67.590466536645707"/>
    <n v="3204.0280012097301"/>
    <d v="2022-04-02T12:24:17"/>
    <x v="1"/>
    <s v="A"/>
  </r>
  <r>
    <n v="1426"/>
    <s v="Male"/>
    <x v="0"/>
    <s v="No"/>
    <s v="Yes"/>
    <s v="Yes"/>
    <s v="Yes"/>
    <s v="Fiber optic"/>
    <s v="No"/>
    <s v="Yes"/>
    <s v="Yes"/>
    <s v="No"/>
    <s v="Yes"/>
    <s v="Yes"/>
    <x v="1"/>
    <s v="No"/>
    <n v="32"/>
    <x v="0"/>
    <n v="67.569058261864001"/>
    <n v="3201.5556645799602"/>
    <d v="2022-04-02T07:35:58"/>
    <x v="1"/>
    <s v="A"/>
  </r>
  <r>
    <n v="1427"/>
    <s v="Female"/>
    <x v="0"/>
    <s v="Yes"/>
    <s v="No"/>
    <s v="Yes"/>
    <s v="Yes"/>
    <s v="DSL"/>
    <s v="No"/>
    <s v="Yes"/>
    <s v="Yes"/>
    <s v="No"/>
    <s v="No"/>
    <s v="No"/>
    <x v="2"/>
    <s v="No"/>
    <n v="32"/>
    <x v="2"/>
    <n v="67.547649987082195"/>
    <n v="3199.0833279501799"/>
    <d v="2022-04-02T02:47:39"/>
    <x v="1"/>
    <s v="A"/>
  </r>
  <r>
    <n v="1428"/>
    <s v="Female"/>
    <x v="0"/>
    <s v="Yes"/>
    <s v="Yes"/>
    <s v="Yes"/>
    <s v="No"/>
    <s v="DSL"/>
    <s v="No"/>
    <s v="Yes"/>
    <s v="No"/>
    <s v="No"/>
    <s v="No"/>
    <s v="Yes"/>
    <x v="1"/>
    <s v="Yes"/>
    <n v="32"/>
    <x v="3"/>
    <n v="67.526241712300504"/>
    <n v="3196.61099132041"/>
    <d v="2022-04-01T21:59:19"/>
    <x v="1"/>
    <s v="A"/>
  </r>
  <r>
    <n v="1429"/>
    <s v="Male"/>
    <x v="0"/>
    <s v="No"/>
    <s v="No"/>
    <s v="Yes"/>
    <s v="No"/>
    <s v="Fiber optic"/>
    <s v="No"/>
    <s v="No"/>
    <s v="Yes"/>
    <s v="No"/>
    <s v="Yes"/>
    <s v="No"/>
    <x v="1"/>
    <s v="No"/>
    <n v="32"/>
    <x v="2"/>
    <n v="67.504833437518698"/>
    <n v="3194.1386546906301"/>
    <d v="2022-04-01T17:11:00"/>
    <x v="1"/>
    <s v="A"/>
  </r>
  <r>
    <n v="1430"/>
    <s v="Male"/>
    <x v="0"/>
    <s v="No"/>
    <s v="Yes"/>
    <s v="No"/>
    <s v="No"/>
    <s v="Fiber optic"/>
    <s v="No"/>
    <s v="No"/>
    <s v="No"/>
    <s v="Yes"/>
    <s v="No"/>
    <s v="No"/>
    <x v="1"/>
    <s v="Yes"/>
    <n v="32"/>
    <x v="3"/>
    <n v="67.483425162736907"/>
    <n v="3191.6663180608598"/>
    <d v="2022-04-01T12:22:41"/>
    <x v="1"/>
    <s v="A"/>
  </r>
  <r>
    <n v="1431"/>
    <s v="Female"/>
    <x v="0"/>
    <s v="Yes"/>
    <s v="No"/>
    <s v="Yes"/>
    <s v="No"/>
    <s v="Fiber optic"/>
    <s v="Yes"/>
    <s v="No"/>
    <s v="No"/>
    <s v="Yes"/>
    <s v="Yes"/>
    <s v="No"/>
    <x v="1"/>
    <s v="No"/>
    <n v="32"/>
    <x v="2"/>
    <n v="67.462016887955201"/>
    <n v="3189.1939814310799"/>
    <d v="2022-04-01T07:34:22"/>
    <x v="1"/>
    <s v="A"/>
  </r>
  <r>
    <n v="1432"/>
    <s v="Female"/>
    <x v="0"/>
    <s v="Yes"/>
    <s v="No"/>
    <s v="Yes"/>
    <s v="Yes"/>
    <s v="Fiber optic"/>
    <s v="No"/>
    <s v="No"/>
    <s v="No"/>
    <s v="No"/>
    <s v="Yes"/>
    <s v="No"/>
    <x v="1"/>
    <s v="Yes"/>
    <n v="32"/>
    <x v="2"/>
    <n v="67.440608613173495"/>
    <n v="3186.72164480131"/>
    <d v="2022-04-01T02:46:02"/>
    <x v="1"/>
    <s v="A"/>
  </r>
  <r>
    <n v="1433"/>
    <s v="Female"/>
    <x v="0"/>
    <s v="No"/>
    <s v="No"/>
    <s v="No"/>
    <s v="Yes"/>
    <s v="Fiber optic"/>
    <s v="No"/>
    <s v="Yes"/>
    <s v="Yes"/>
    <s v="Yes"/>
    <s v="Yes"/>
    <s v="Yes"/>
    <x v="0"/>
    <s v="Yes"/>
    <n v="32"/>
    <x v="0"/>
    <n v="67.419200338391704"/>
    <n v="3184.2493081715402"/>
    <d v="2022-03-31T21:57:43"/>
    <x v="1"/>
    <s v="A"/>
  </r>
  <r>
    <n v="1434"/>
    <s v="Female"/>
    <x v="0"/>
    <s v="Yes"/>
    <s v="Yes"/>
    <s v="Yes"/>
    <s v="No"/>
    <s v="DSL"/>
    <s v="Yes"/>
    <s v="No"/>
    <s v="Yes"/>
    <s v="No"/>
    <s v="No"/>
    <s v="No"/>
    <x v="2"/>
    <s v="Yes"/>
    <n v="32"/>
    <x v="2"/>
    <n v="67.397792063609899"/>
    <n v="3181.7769715417598"/>
    <d v="2022-03-31T17:09:24"/>
    <x v="1"/>
    <s v="A"/>
  </r>
  <r>
    <n v="1435"/>
    <s v="Female"/>
    <x v="0"/>
    <s v="No"/>
    <s v="No"/>
    <s v="Yes"/>
    <s v="Yes"/>
    <s v="DSL"/>
    <s v="No"/>
    <s v="No"/>
    <s v="No"/>
    <s v="No"/>
    <s v="Yes"/>
    <s v="No"/>
    <x v="1"/>
    <s v="No"/>
    <n v="32"/>
    <x v="2"/>
    <n v="67.376383788828207"/>
    <n v="3179.30463491199"/>
    <d v="2022-03-31T12:21:05"/>
    <x v="1"/>
    <s v="A"/>
  </r>
  <r>
    <n v="1436"/>
    <s v="Male"/>
    <x v="0"/>
    <s v="Yes"/>
    <s v="Yes"/>
    <s v="Yes"/>
    <s v="No"/>
    <s v="Fiber optic"/>
    <s v="Yes"/>
    <s v="No"/>
    <s v="No"/>
    <s v="Yes"/>
    <s v="Yes"/>
    <s v="Yes"/>
    <x v="2"/>
    <s v="Yes"/>
    <n v="32"/>
    <x v="2"/>
    <n v="67.354975514046401"/>
    <n v="3176.8322982822101"/>
    <d v="2022-03-31T07:32:45"/>
    <x v="1"/>
    <s v="B"/>
  </r>
  <r>
    <n v="1437"/>
    <s v="Female"/>
    <x v="0"/>
    <s v="Yes"/>
    <s v="No"/>
    <s v="No"/>
    <s v="Yes"/>
    <s v="No"/>
    <s v="No"/>
    <s v="Yes"/>
    <s v="No"/>
    <s v="Yes"/>
    <s v="No"/>
    <s v="Yes"/>
    <x v="1"/>
    <s v="Yes"/>
    <n v="32"/>
    <x v="3"/>
    <n v="67.333567239264696"/>
    <n v="3174.3599616524398"/>
    <d v="2022-03-31T02:44:26"/>
    <x v="1"/>
    <s v="A"/>
  </r>
  <r>
    <n v="1438"/>
    <s v="Female"/>
    <x v="0"/>
    <s v="Yes"/>
    <s v="No"/>
    <s v="Yes"/>
    <s v="No"/>
    <s v="Fiber optic"/>
    <s v="No"/>
    <s v="No"/>
    <s v="Yes"/>
    <s v="No"/>
    <s v="No"/>
    <s v="Yes"/>
    <x v="1"/>
    <s v="No"/>
    <n v="32"/>
    <x v="2"/>
    <n v="67.312158964482904"/>
    <n v="3171.8876250226599"/>
    <d v="2022-03-30T21:56:07"/>
    <x v="1"/>
    <s v="A"/>
  </r>
  <r>
    <n v="1439"/>
    <s v="Female"/>
    <x v="0"/>
    <s v="Yes"/>
    <s v="No"/>
    <s v="Yes"/>
    <s v="No"/>
    <s v="No"/>
    <s v="No"/>
    <s v="Yes"/>
    <s v="No"/>
    <s v="No"/>
    <s v="No"/>
    <s v="No"/>
    <x v="0"/>
    <s v="Yes"/>
    <n v="32"/>
    <x v="3"/>
    <n v="67.290750689701198"/>
    <n v="3169.41528839289"/>
    <d v="2022-03-30T17:07:48"/>
    <x v="1"/>
    <s v="A"/>
  </r>
  <r>
    <n v="1440"/>
    <s v="Female"/>
    <x v="0"/>
    <s v="No"/>
    <s v="No"/>
    <s v="Yes"/>
    <s v="Yes"/>
    <s v="No"/>
    <s v="Yes"/>
    <s v="Yes"/>
    <s v="Yes"/>
    <s v="No"/>
    <s v="No"/>
    <s v="Yes"/>
    <x v="0"/>
    <s v="Yes"/>
    <n v="32"/>
    <x v="3"/>
    <n v="67.269342414919393"/>
    <n v="3166.9429517631102"/>
    <d v="2022-03-30T12:19:28"/>
    <x v="1"/>
    <s v="B"/>
  </r>
  <r>
    <n v="1441"/>
    <s v="Male"/>
    <x v="0"/>
    <s v="Yes"/>
    <s v="No"/>
    <s v="No"/>
    <s v="No"/>
    <s v="DSL"/>
    <s v="Yes"/>
    <s v="No"/>
    <s v="No"/>
    <s v="Yes"/>
    <s v="Yes"/>
    <s v="No"/>
    <x v="1"/>
    <s v="No"/>
    <n v="32"/>
    <x v="1"/>
    <n v="67.247934140137701"/>
    <n v="3164.4706151333398"/>
    <d v="2022-03-30T07:31:09"/>
    <x v="1"/>
    <s v="A"/>
  </r>
  <r>
    <n v="1442"/>
    <s v="Male"/>
    <x v="0"/>
    <s v="Yes"/>
    <s v="No"/>
    <s v="Yes"/>
    <s v="Yes"/>
    <s v="DSL"/>
    <s v="No"/>
    <s v="Yes"/>
    <s v="No"/>
    <s v="No"/>
    <s v="No"/>
    <s v="No"/>
    <x v="1"/>
    <s v="Yes"/>
    <n v="32"/>
    <x v="1"/>
    <n v="67.226525865355896"/>
    <n v="3161.99827850356"/>
    <d v="2022-03-30T02:42:50"/>
    <x v="0"/>
    <s v="A"/>
  </r>
  <r>
    <n v="1443"/>
    <s v="Male"/>
    <x v="0"/>
    <s v="No"/>
    <s v="No"/>
    <s v="Yes"/>
    <s v="Yes"/>
    <s v="Fiber optic"/>
    <s v="No"/>
    <s v="Yes"/>
    <s v="No"/>
    <s v="No"/>
    <s v="Yes"/>
    <s v="No"/>
    <x v="2"/>
    <s v="No"/>
    <n v="32"/>
    <x v="3"/>
    <n v="67.205117590574204"/>
    <n v="3159.5259418737901"/>
    <d v="2022-03-29T21:54:31"/>
    <x v="0"/>
    <s v="A"/>
  </r>
  <r>
    <n v="1444"/>
    <s v="Male"/>
    <x v="0"/>
    <s v="No"/>
    <s v="Yes"/>
    <s v="Yes"/>
    <s v="Yes"/>
    <s v="No"/>
    <s v="Yes"/>
    <s v="No"/>
    <s v="No"/>
    <s v="No"/>
    <s v="No"/>
    <s v="Yes"/>
    <x v="1"/>
    <s v="Yes"/>
    <n v="32"/>
    <x v="0"/>
    <n v="67.183709315792399"/>
    <n v="3157.0536052440102"/>
    <d v="2022-03-29T17:06:11"/>
    <x v="0"/>
    <s v="A"/>
  </r>
  <r>
    <n v="1445"/>
    <s v="Female"/>
    <x v="0"/>
    <s v="No"/>
    <s v="No"/>
    <s v="Yes"/>
    <s v="Yes"/>
    <s v="No"/>
    <s v="No"/>
    <s v="Yes"/>
    <s v="No"/>
    <s v="No"/>
    <s v="No"/>
    <s v="No"/>
    <x v="1"/>
    <s v="Yes"/>
    <n v="32"/>
    <x v="2"/>
    <n v="67.162301041010707"/>
    <n v="3154.5812686142399"/>
    <d v="2022-03-29T12:17:52"/>
    <x v="0"/>
    <s v="A"/>
  </r>
  <r>
    <n v="1446"/>
    <s v="Female"/>
    <x v="0"/>
    <s v="No"/>
    <s v="No"/>
    <s v="Yes"/>
    <s v="No"/>
    <s v="Fiber optic"/>
    <s v="Yes"/>
    <s v="No"/>
    <s v="No"/>
    <s v="Yes"/>
    <s v="Yes"/>
    <s v="Yes"/>
    <x v="1"/>
    <s v="No"/>
    <n v="32"/>
    <x v="0"/>
    <n v="67.140892766228902"/>
    <n v="3152.10893198446"/>
    <d v="2022-03-29T07:29:33"/>
    <x v="0"/>
    <s v="A"/>
  </r>
  <r>
    <n v="1447"/>
    <s v="Male"/>
    <x v="0"/>
    <s v="Yes"/>
    <s v="No"/>
    <s v="Yes"/>
    <s v="Yes"/>
    <s v="Fiber optic"/>
    <s v="Yes"/>
    <s v="No"/>
    <s v="No"/>
    <s v="No"/>
    <s v="Yes"/>
    <s v="Yes"/>
    <x v="0"/>
    <s v="No"/>
    <n v="32"/>
    <x v="2"/>
    <n v="67.119484491447096"/>
    <n v="3149.6365953546901"/>
    <d v="2022-03-29T02:41:14"/>
    <x v="0"/>
    <s v="A"/>
  </r>
  <r>
    <n v="1448"/>
    <s v="Female"/>
    <x v="0"/>
    <s v="Yes"/>
    <s v="Yes"/>
    <s v="Yes"/>
    <s v="Yes"/>
    <s v="DSL"/>
    <s v="No"/>
    <s v="No"/>
    <s v="Yes"/>
    <s v="Yes"/>
    <s v="Yes"/>
    <s v="No"/>
    <x v="1"/>
    <s v="Yes"/>
    <n v="32"/>
    <x v="1"/>
    <n v="67.098076216665405"/>
    <n v="3147.1642587249098"/>
    <d v="2022-03-28T21:52:54"/>
    <x v="0"/>
    <s v="A"/>
  </r>
  <r>
    <n v="1449"/>
    <s v="Female"/>
    <x v="0"/>
    <s v="No"/>
    <s v="No"/>
    <s v="No"/>
    <s v="Yes"/>
    <s v="DSL"/>
    <s v="Yes"/>
    <s v="No"/>
    <s v="Yes"/>
    <s v="No"/>
    <s v="Yes"/>
    <s v="Yes"/>
    <x v="1"/>
    <s v="No"/>
    <n v="32"/>
    <x v="0"/>
    <n v="67.076667941883599"/>
    <n v="3144.6919220951399"/>
    <d v="2022-03-28T17:04:35"/>
    <x v="0"/>
    <s v="A"/>
  </r>
  <r>
    <n v="1450"/>
    <s v="Female"/>
    <x v="0"/>
    <s v="No"/>
    <s v="Yes"/>
    <s v="Yes"/>
    <s v="No"/>
    <s v="Fiber optic"/>
    <s v="Yes"/>
    <s v="No"/>
    <s v="Yes"/>
    <s v="No"/>
    <s v="No"/>
    <s v="No"/>
    <x v="0"/>
    <s v="Yes"/>
    <n v="32"/>
    <x v="2"/>
    <n v="67.055259667101893"/>
    <n v="3142.2195854653701"/>
    <d v="2022-03-28T12:16:16"/>
    <x v="0"/>
    <s v="A"/>
  </r>
  <r>
    <n v="1451"/>
    <s v="Female"/>
    <x v="0"/>
    <s v="No"/>
    <s v="Yes"/>
    <s v="Yes"/>
    <s v="Yes"/>
    <s v="Fiber optic"/>
    <s v="No"/>
    <s v="Yes"/>
    <s v="Yes"/>
    <s v="No"/>
    <s v="No"/>
    <s v="No"/>
    <x v="2"/>
    <s v="Yes"/>
    <n v="32"/>
    <x v="2"/>
    <n v="67.033851392320102"/>
    <n v="3139.7472488355902"/>
    <d v="2022-03-28T07:27:57"/>
    <x v="0"/>
    <s v="A"/>
  </r>
  <r>
    <n v="1452"/>
    <s v="Male"/>
    <x v="0"/>
    <s v="No"/>
    <s v="No"/>
    <s v="Yes"/>
    <s v="No"/>
    <s v="DSL"/>
    <s v="Yes"/>
    <s v="Yes"/>
    <s v="No"/>
    <s v="No"/>
    <s v="No"/>
    <s v="Yes"/>
    <x v="1"/>
    <s v="Yes"/>
    <n v="32"/>
    <x v="1"/>
    <n v="67.012443117538396"/>
    <n v="3137.2749122058199"/>
    <d v="2022-03-28T02:39:37"/>
    <x v="0"/>
    <s v="A"/>
  </r>
  <r>
    <n v="1453"/>
    <s v="Male"/>
    <x v="0"/>
    <s v="Yes"/>
    <s v="No"/>
    <s v="Yes"/>
    <s v="Yes"/>
    <s v="Fiber optic"/>
    <s v="No"/>
    <s v="No"/>
    <s v="Yes"/>
    <s v="No"/>
    <s v="No"/>
    <s v="Yes"/>
    <x v="1"/>
    <s v="Yes"/>
    <n v="32"/>
    <x v="1"/>
    <n v="66.991034842756605"/>
    <n v="3134.80257557604"/>
    <d v="2022-03-27T21:51:18"/>
    <x v="1"/>
    <s v="A"/>
  </r>
  <r>
    <n v="1454"/>
    <s v="Male"/>
    <x v="0"/>
    <s v="Yes"/>
    <s v="No"/>
    <s v="Yes"/>
    <s v="No"/>
    <s v="Fiber optic"/>
    <s v="No"/>
    <s v="No"/>
    <s v="No"/>
    <s v="Yes"/>
    <s v="No"/>
    <s v="No"/>
    <x v="1"/>
    <s v="Yes"/>
    <n v="32"/>
    <x v="1"/>
    <n v="66.969626567974899"/>
    <n v="3132.3302389462701"/>
    <d v="2022-03-27T17:02:59"/>
    <x v="0"/>
    <s v="A"/>
  </r>
  <r>
    <n v="1455"/>
    <s v="Female"/>
    <x v="0"/>
    <s v="Yes"/>
    <s v="Yes"/>
    <s v="Yes"/>
    <s v="No"/>
    <s v="Fiber optic"/>
    <s v="No"/>
    <s v="No"/>
    <s v="No"/>
    <s v="No"/>
    <s v="Yes"/>
    <s v="No"/>
    <x v="0"/>
    <s v="No"/>
    <n v="32"/>
    <x v="3"/>
    <n v="66.948218293193094"/>
    <n v="3129.8579023164898"/>
    <d v="2022-03-27T12:14:40"/>
    <x v="0"/>
    <s v="A"/>
  </r>
  <r>
    <n v="1456"/>
    <s v="Male"/>
    <x v="0"/>
    <s v="Yes"/>
    <s v="No"/>
    <s v="No"/>
    <s v="Yes"/>
    <s v="Fiber optic"/>
    <s v="No"/>
    <s v="Yes"/>
    <s v="Yes"/>
    <s v="Yes"/>
    <s v="No"/>
    <s v="Yes"/>
    <x v="1"/>
    <s v="No"/>
    <n v="32"/>
    <x v="0"/>
    <n v="66.926810018411402"/>
    <n v="3127.3855656867199"/>
    <d v="2022-03-27T07:26:20"/>
    <x v="0"/>
    <s v="A"/>
  </r>
  <r>
    <n v="1457"/>
    <s v="Male"/>
    <x v="0"/>
    <s v="No"/>
    <s v="No"/>
    <s v="Yes"/>
    <s v="Yes"/>
    <s v="Fiber optic"/>
    <s v="Yes"/>
    <s v="Yes"/>
    <s v="Yes"/>
    <s v="No"/>
    <s v="No"/>
    <s v="Yes"/>
    <x v="2"/>
    <s v="Yes"/>
    <n v="32"/>
    <x v="1"/>
    <n v="66.905401743629596"/>
    <n v="3124.9132290569401"/>
    <d v="2022-03-27T02:38:01"/>
    <x v="0"/>
    <s v="A"/>
  </r>
  <r>
    <n v="1458"/>
    <s v="Male"/>
    <x v="0"/>
    <s v="Yes"/>
    <s v="No"/>
    <s v="Yes"/>
    <s v="No"/>
    <s v="DSL"/>
    <s v="Yes"/>
    <s v="No"/>
    <s v="No"/>
    <s v="No"/>
    <s v="No"/>
    <s v="No"/>
    <x v="2"/>
    <s v="Yes"/>
    <n v="32"/>
    <x v="2"/>
    <n v="66.883993468847905"/>
    <n v="3122.4408924271702"/>
    <d v="2022-03-26T21:49:42"/>
    <x v="0"/>
    <s v="A"/>
  </r>
  <r>
    <n v="1459"/>
    <s v="Female"/>
    <x v="0"/>
    <s v="No"/>
    <s v="No"/>
    <s v="Yes"/>
    <s v="Yes"/>
    <s v="DSL"/>
    <s v="No"/>
    <s v="No"/>
    <s v="No"/>
    <s v="No"/>
    <s v="Yes"/>
    <s v="Yes"/>
    <x v="1"/>
    <s v="Yes"/>
    <n v="32"/>
    <x v="1"/>
    <n v="66.862585194066099"/>
    <n v="3119.9685557973899"/>
    <d v="2022-03-26T17:01:23"/>
    <x v="1"/>
    <s v="A"/>
  </r>
  <r>
    <n v="1460"/>
    <s v="Male"/>
    <x v="0"/>
    <s v="Yes"/>
    <s v="No"/>
    <s v="Yes"/>
    <s v="Yes"/>
    <s v="DSL"/>
    <s v="No"/>
    <s v="No"/>
    <s v="Yes"/>
    <s v="No"/>
    <s v="No"/>
    <s v="Yes"/>
    <x v="1"/>
    <s v="Yes"/>
    <n v="32"/>
    <x v="2"/>
    <n v="66.841176919284393"/>
    <n v="3117.49621916762"/>
    <d v="2022-03-26T12:13:03"/>
    <x v="1"/>
    <s v="A"/>
  </r>
  <r>
    <n v="1461"/>
    <s v="Female"/>
    <x v="0"/>
    <s v="Yes"/>
    <s v="No"/>
    <s v="Yes"/>
    <s v="Yes"/>
    <s v="DSL"/>
    <s v="No"/>
    <s v="Yes"/>
    <s v="No"/>
    <s v="Yes"/>
    <s v="No"/>
    <s v="No"/>
    <x v="1"/>
    <s v="No"/>
    <n v="32"/>
    <x v="2"/>
    <n v="66.819768644502602"/>
    <n v="3115.0238825378401"/>
    <d v="2022-03-26T07:24:44"/>
    <x v="1"/>
    <s v="A"/>
  </r>
  <r>
    <n v="1462"/>
    <s v="Male"/>
    <x v="0"/>
    <s v="Yes"/>
    <s v="No"/>
    <s v="Yes"/>
    <s v="No"/>
    <s v="DSL"/>
    <s v="No"/>
    <s v="No"/>
    <s v="Yes"/>
    <s v="No"/>
    <s v="Yes"/>
    <s v="No"/>
    <x v="1"/>
    <s v="No"/>
    <n v="32"/>
    <x v="3"/>
    <n v="66.798360369720896"/>
    <n v="3112.5515459080698"/>
    <d v="2022-03-26T02:36:25"/>
    <x v="1"/>
    <s v="A"/>
  </r>
  <r>
    <n v="1463"/>
    <s v="Female"/>
    <x v="0"/>
    <s v="Yes"/>
    <s v="No"/>
    <s v="Yes"/>
    <s v="Yes"/>
    <s v="DSL"/>
    <s v="No"/>
    <s v="Yes"/>
    <s v="Yes"/>
    <s v="No"/>
    <s v="Yes"/>
    <s v="Yes"/>
    <x v="2"/>
    <s v="No"/>
    <n v="32"/>
    <x v="0"/>
    <n v="66.776952094939105"/>
    <n v="3110.0792092782899"/>
    <d v="2022-03-25T21:48:06"/>
    <x v="1"/>
    <s v="A"/>
  </r>
  <r>
    <n v="1464"/>
    <s v="Female"/>
    <x v="0"/>
    <s v="No"/>
    <s v="Yes"/>
    <s v="Yes"/>
    <s v="Yes"/>
    <s v="No"/>
    <s v="No"/>
    <s v="No"/>
    <s v="No"/>
    <s v="Yes"/>
    <s v="No"/>
    <s v="No"/>
    <x v="1"/>
    <s v="No"/>
    <n v="32"/>
    <x v="2"/>
    <n v="66.7555438201573"/>
    <n v="3107.60687264852"/>
    <d v="2022-03-25T16:59:46"/>
    <x v="1"/>
    <s v="A"/>
  </r>
  <r>
    <n v="1465"/>
    <s v="Male"/>
    <x v="1"/>
    <s v="Yes"/>
    <s v="No"/>
    <s v="Yes"/>
    <s v="Yes"/>
    <s v="Fiber optic"/>
    <s v="Yes"/>
    <s v="No"/>
    <s v="Yes"/>
    <s v="No"/>
    <s v="Yes"/>
    <s v="Yes"/>
    <x v="1"/>
    <s v="Yes"/>
    <n v="32"/>
    <x v="3"/>
    <n v="66.734135545375594"/>
    <n v="3105.1345360187402"/>
    <d v="2022-03-25T12:11:27"/>
    <x v="1"/>
    <s v="A"/>
  </r>
  <r>
    <n v="1466"/>
    <s v="Female"/>
    <x v="1"/>
    <s v="No"/>
    <s v="Yes"/>
    <s v="Yes"/>
    <s v="Yes"/>
    <s v="DSL"/>
    <s v="Yes"/>
    <s v="Yes"/>
    <s v="Yes"/>
    <s v="No"/>
    <s v="No"/>
    <s v="Yes"/>
    <x v="2"/>
    <s v="Yes"/>
    <n v="32"/>
    <x v="0"/>
    <n v="66.712727270593803"/>
    <n v="3102.6621993889698"/>
    <d v="2022-03-25T07:23:08"/>
    <x v="1"/>
    <s v="A"/>
  </r>
  <r>
    <n v="1467"/>
    <s v="Male"/>
    <x v="0"/>
    <s v="Yes"/>
    <s v="Yes"/>
    <s v="Yes"/>
    <s v="Yes"/>
    <s v="Fiber optic"/>
    <s v="Yes"/>
    <s v="No"/>
    <s v="No"/>
    <s v="No"/>
    <s v="No"/>
    <s v="No"/>
    <x v="1"/>
    <s v="Yes"/>
    <n v="32"/>
    <x v="2"/>
    <n v="66.691318995812097"/>
    <n v="3100.1898627592"/>
    <d v="2022-03-25T02:34:49"/>
    <x v="1"/>
    <s v="A"/>
  </r>
  <r>
    <n v="1468"/>
    <s v="Male"/>
    <x v="0"/>
    <s v="No"/>
    <s v="No"/>
    <s v="Yes"/>
    <s v="No"/>
    <s v="DSL"/>
    <s v="No"/>
    <s v="Yes"/>
    <s v="No"/>
    <s v="Yes"/>
    <s v="Yes"/>
    <s v="No"/>
    <x v="1"/>
    <s v="No"/>
    <n v="32"/>
    <x v="2"/>
    <n v="66.669910721030305"/>
    <n v="3097.7175261294201"/>
    <d v="2022-03-24T21:46:29"/>
    <x v="1"/>
    <s v="A"/>
  </r>
  <r>
    <n v="1469"/>
    <s v="Male"/>
    <x v="0"/>
    <s v="No"/>
    <s v="No"/>
    <s v="Yes"/>
    <s v="Yes"/>
    <s v="No"/>
    <s v="No"/>
    <s v="No"/>
    <s v="No"/>
    <s v="No"/>
    <s v="Yes"/>
    <s v="No"/>
    <x v="0"/>
    <s v="Yes"/>
    <n v="32"/>
    <x v="0"/>
    <n v="66.6485024462486"/>
    <n v="3095.2451894996502"/>
    <d v="2022-03-24T16:58:10"/>
    <x v="1"/>
    <s v="A"/>
  </r>
  <r>
    <n v="1470"/>
    <s v="Male"/>
    <x v="0"/>
    <s v="No"/>
    <s v="No"/>
    <s v="Yes"/>
    <s v="No"/>
    <s v="DSL"/>
    <s v="No"/>
    <s v="No"/>
    <s v="No"/>
    <s v="No"/>
    <s v="Yes"/>
    <s v="No"/>
    <x v="1"/>
    <s v="Yes"/>
    <n v="32"/>
    <x v="2"/>
    <n v="66.627094171466794"/>
    <n v="3092.7728528698699"/>
    <d v="2022-03-24T12:09:51"/>
    <x v="1"/>
    <s v="B"/>
  </r>
  <r>
    <n v="1471"/>
    <s v="Female"/>
    <x v="0"/>
    <s v="Yes"/>
    <s v="Yes"/>
    <s v="Yes"/>
    <s v="No"/>
    <s v="No"/>
    <s v="No"/>
    <s v="Yes"/>
    <s v="No"/>
    <s v="No"/>
    <s v="No"/>
    <s v="Yes"/>
    <x v="1"/>
    <s v="Yes"/>
    <n v="32"/>
    <x v="2"/>
    <n v="66.605685896685003"/>
    <n v="3090.3005162401"/>
    <d v="2022-03-24T07:21:32"/>
    <x v="1"/>
    <s v="A"/>
  </r>
  <r>
    <n v="1472"/>
    <s v="Male"/>
    <x v="0"/>
    <s v="No"/>
    <s v="Yes"/>
    <s v="Yes"/>
    <s v="Yes"/>
    <s v="No"/>
    <s v="Yes"/>
    <s v="Yes"/>
    <s v="Yes"/>
    <s v="No"/>
    <s v="No"/>
    <s v="No"/>
    <x v="2"/>
    <s v="Yes"/>
    <n v="32"/>
    <x v="2"/>
    <n v="66.584277621903297"/>
    <n v="3087.8281796103201"/>
    <d v="2022-03-24T02:33:12"/>
    <x v="1"/>
    <s v="A"/>
  </r>
  <r>
    <n v="1473"/>
    <s v="Female"/>
    <x v="0"/>
    <s v="Yes"/>
    <s v="No"/>
    <s v="No"/>
    <s v="No"/>
    <s v="DSL"/>
    <s v="No"/>
    <s v="Yes"/>
    <s v="Yes"/>
    <s v="No"/>
    <s v="No"/>
    <s v="No"/>
    <x v="2"/>
    <s v="Yes"/>
    <n v="32"/>
    <x v="2"/>
    <n v="66.562869347121506"/>
    <n v="3085.3558429805498"/>
    <d v="2022-03-23T21:44:53"/>
    <x v="1"/>
    <s v="A"/>
  </r>
  <r>
    <n v="1474"/>
    <s v="Male"/>
    <x v="0"/>
    <s v="Yes"/>
    <s v="No"/>
    <s v="Yes"/>
    <s v="No"/>
    <s v="Fiber optic"/>
    <s v="Yes"/>
    <s v="No"/>
    <s v="Yes"/>
    <s v="No"/>
    <s v="No"/>
    <s v="No"/>
    <x v="1"/>
    <s v="Yes"/>
    <n v="32"/>
    <x v="1"/>
    <n v="66.5414610723398"/>
    <n v="3082.8835063507699"/>
    <d v="2022-03-23T16:56:34"/>
    <x v="1"/>
    <s v="A"/>
  </r>
  <r>
    <n v="1475"/>
    <s v="Female"/>
    <x v="0"/>
    <s v="Yes"/>
    <s v="Yes"/>
    <s v="Yes"/>
    <s v="No"/>
    <s v="Fiber optic"/>
    <s v="Yes"/>
    <s v="No"/>
    <s v="No"/>
    <s v="No"/>
    <s v="Yes"/>
    <s v="No"/>
    <x v="1"/>
    <s v="Yes"/>
    <n v="32"/>
    <x v="2"/>
    <n v="66.520052797557994"/>
    <n v="3080.4111697210001"/>
    <d v="2022-03-23T12:08:15"/>
    <x v="1"/>
    <s v="A"/>
  </r>
  <r>
    <n v="1476"/>
    <s v="Male"/>
    <x v="0"/>
    <s v="No"/>
    <s v="No"/>
    <s v="No"/>
    <s v="Yes"/>
    <s v="Fiber optic"/>
    <s v="No"/>
    <s v="No"/>
    <s v="No"/>
    <s v="No"/>
    <s v="No"/>
    <s v="Yes"/>
    <x v="0"/>
    <s v="No"/>
    <n v="32"/>
    <x v="2"/>
    <n v="66.498644522776303"/>
    <n v="3077.9388330912202"/>
    <d v="2022-03-23T07:19:55"/>
    <x v="1"/>
    <s v="A"/>
  </r>
  <r>
    <n v="1477"/>
    <s v="Male"/>
    <x v="1"/>
    <s v="No"/>
    <s v="No"/>
    <s v="Yes"/>
    <s v="No"/>
    <s v="DSL"/>
    <s v="No"/>
    <s v="No"/>
    <s v="Yes"/>
    <s v="No"/>
    <s v="No"/>
    <s v="Yes"/>
    <x v="2"/>
    <s v="Yes"/>
    <n v="32"/>
    <x v="3"/>
    <n v="66.477236247994497"/>
    <n v="3075.4664964614499"/>
    <d v="2022-03-23T02:31:36"/>
    <x v="1"/>
    <s v="A"/>
  </r>
  <r>
    <n v="1478"/>
    <s v="Female"/>
    <x v="0"/>
    <s v="Yes"/>
    <s v="No"/>
    <s v="No"/>
    <s v="Yes"/>
    <s v="No"/>
    <s v="No"/>
    <s v="No"/>
    <s v="No"/>
    <s v="No"/>
    <s v="Yes"/>
    <s v="No"/>
    <x v="1"/>
    <s v="No"/>
    <n v="32"/>
    <x v="2"/>
    <n v="66.455827973212806"/>
    <n v="3072.99415983167"/>
    <d v="2022-03-22T21:43:17"/>
    <x v="1"/>
    <s v="A"/>
  </r>
  <r>
    <n v="1479"/>
    <s v="Male"/>
    <x v="0"/>
    <s v="No"/>
    <s v="No"/>
    <s v="Yes"/>
    <s v="Yes"/>
    <s v="DSL"/>
    <s v="Yes"/>
    <s v="Yes"/>
    <s v="Yes"/>
    <s v="Yes"/>
    <s v="Yes"/>
    <s v="No"/>
    <x v="1"/>
    <s v="Yes"/>
    <n v="32"/>
    <x v="3"/>
    <n v="66.434419698431"/>
    <n v="3070.5218232019001"/>
    <d v="2022-03-22T16:54:58"/>
    <x v="1"/>
    <s v="A"/>
  </r>
  <r>
    <n v="1480"/>
    <s v="Female"/>
    <x v="0"/>
    <s v="No"/>
    <s v="No"/>
    <s v="Yes"/>
    <s v="No"/>
    <s v="DSL"/>
    <s v="No"/>
    <s v="No"/>
    <s v="No"/>
    <s v="Yes"/>
    <s v="Yes"/>
    <s v="No"/>
    <x v="2"/>
    <s v="Yes"/>
    <n v="32"/>
    <x v="0"/>
    <n v="66.413011423649294"/>
    <n v="3068.0494865721198"/>
    <d v="2022-03-22T12:06:38"/>
    <x v="1"/>
    <s v="A"/>
  </r>
  <r>
    <n v="1481"/>
    <s v="Female"/>
    <x v="0"/>
    <s v="Yes"/>
    <s v="Yes"/>
    <s v="Yes"/>
    <s v="Yes"/>
    <s v="Fiber optic"/>
    <s v="Yes"/>
    <s v="Yes"/>
    <s v="Yes"/>
    <s v="No"/>
    <s v="Yes"/>
    <s v="No"/>
    <x v="1"/>
    <s v="Yes"/>
    <n v="32"/>
    <x v="3"/>
    <n v="66.391603148867503"/>
    <n v="3065.5771499423499"/>
    <d v="2022-03-22T07:18:19"/>
    <x v="1"/>
    <s v="A"/>
  </r>
  <r>
    <n v="1482"/>
    <s v="Male"/>
    <x v="0"/>
    <s v="Yes"/>
    <s v="No"/>
    <s v="Yes"/>
    <s v="No"/>
    <s v="DSL"/>
    <s v="Yes"/>
    <s v="Yes"/>
    <s v="No"/>
    <s v="No"/>
    <s v="Yes"/>
    <s v="No"/>
    <x v="1"/>
    <s v="Yes"/>
    <n v="32"/>
    <x v="2"/>
    <n v="66.370194874085698"/>
    <n v="3063.1048133125701"/>
    <d v="2022-03-22T02:30:00"/>
    <x v="1"/>
    <s v="A"/>
  </r>
  <r>
    <n v="1483"/>
    <s v="Female"/>
    <x v="0"/>
    <s v="Yes"/>
    <s v="No"/>
    <s v="Yes"/>
    <s v="Yes"/>
    <s v="DSL"/>
    <s v="Yes"/>
    <s v="No"/>
    <s v="No"/>
    <s v="No"/>
    <s v="Yes"/>
    <s v="Yes"/>
    <x v="0"/>
    <s v="No"/>
    <n v="32"/>
    <x v="2"/>
    <n v="66.348786599304006"/>
    <n v="3060.6324766828002"/>
    <d v="2022-03-21T21:41:41"/>
    <x v="1"/>
    <s v="A"/>
  </r>
  <r>
    <n v="1484"/>
    <s v="Male"/>
    <x v="0"/>
    <s v="Yes"/>
    <s v="No"/>
    <s v="Yes"/>
    <s v="No"/>
    <s v="DSL"/>
    <s v="No"/>
    <s v="No"/>
    <s v="No"/>
    <s v="No"/>
    <s v="Yes"/>
    <s v="Yes"/>
    <x v="2"/>
    <s v="No"/>
    <n v="32"/>
    <x v="2"/>
    <n v="66.327378324522201"/>
    <n v="3058.1601400530299"/>
    <d v="2022-03-21T16:53:21"/>
    <x v="1"/>
    <s v="A"/>
  </r>
  <r>
    <n v="1485"/>
    <s v="Female"/>
    <x v="0"/>
    <s v="No"/>
    <s v="No"/>
    <s v="Yes"/>
    <s v="No"/>
    <s v="DSL"/>
    <s v="No"/>
    <s v="No"/>
    <s v="No"/>
    <s v="Yes"/>
    <s v="Yes"/>
    <s v="No"/>
    <x v="0"/>
    <s v="Yes"/>
    <n v="32"/>
    <x v="1"/>
    <n v="66.305970049740495"/>
    <n v="3055.68780342325"/>
    <d v="2022-03-21T12:05:02"/>
    <x v="1"/>
    <s v="A"/>
  </r>
  <r>
    <m/>
    <m/>
    <x v="2"/>
    <m/>
    <m/>
    <m/>
    <m/>
    <m/>
    <m/>
    <m/>
    <m/>
    <m/>
    <m/>
    <m/>
    <x v="3"/>
    <m/>
    <m/>
    <x v="4"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ontract">
  <location ref="A43:B4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19" baseField="14" baseItem="0"/>
  </dataFields>
  <formats count="3">
    <format dxfId="3">
      <pivotArea collapsedLevelsAreSubtotals="1" fieldPosition="0">
        <references count="1">
          <reference field="14" count="0"/>
        </references>
      </pivotArea>
    </format>
    <format dxfId="4">
      <pivotArea dataOnly="0" labelOnly="1" outline="0" axis="axisValues" fieldPosition="0"/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9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1" rowHeaderCaption="Senior citizen" colHeaderCaption="Churn">
  <location ref="A30:B34" firstHeaderRow="1" firstDataRow="2" firstDataCol="1"/>
  <pivotFields count="23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h="1" x="0"/>
        <item x="1"/>
        <item h="1"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1"/>
  </colFields>
  <colItems count="1">
    <i>
      <x v="1"/>
    </i>
  </colItems>
  <dataFields count="1">
    <dataField name="Count of Churn" fld="2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9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1" rowHeaderCaption="Payment Method" colHeaderCaption="Churn">
  <location ref="A15:B21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x="1"/>
        <item x="2"/>
        <item x="0"/>
        <item h="1"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>
              <x v="1"/>
            </reference>
          </references>
        </pivotArea>
      </autoSortScope>
    </pivotField>
    <pivotField showAll="0"/>
    <pivotField showAll="0"/>
    <pivotField showAll="0"/>
    <pivotField axis="axisCol" dataField="1" showAll="0">
      <items count="4">
        <item h="1" x="0"/>
        <item x="1"/>
        <item h="1" x="2"/>
        <item t="default"/>
      </items>
    </pivotField>
    <pivotField showAll="0"/>
  </pivotFields>
  <rowFields count="1">
    <field x="17"/>
  </rowFields>
  <rowItems count="5">
    <i>
      <x v="1"/>
    </i>
    <i>
      <x/>
    </i>
    <i>
      <x v="3"/>
    </i>
    <i>
      <x v="2"/>
    </i>
    <i t="grand">
      <x/>
    </i>
  </rowItems>
  <colFields count="1">
    <field x="21"/>
  </colFields>
  <colItems count="1">
    <i>
      <x v="1"/>
    </i>
  </colItems>
  <dataFields count="1">
    <dataField name="Count of Churn" fld="2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1" rowHeaderCaption="Contract" colHeaderCaption="Churn">
  <location ref="A3:B8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4">
        <item h="1" x="0"/>
        <item x="1"/>
        <item h="1"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1"/>
  </colFields>
  <colItems count="1">
    <i>
      <x v="1"/>
    </i>
  </colItems>
  <dataFields count="1">
    <dataField name="Count of Churn" fld="2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99"/>
  <sheetViews>
    <sheetView workbookViewId="0">
      <selection activeCell="C23" sqref="C23"/>
    </sheetView>
  </sheetViews>
  <sheetFormatPr defaultRowHeight="14.5" x14ac:dyDescent="0.35"/>
  <sheetData>
    <row r="1" spans="1:2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</row>
    <row r="2" spans="1:23" x14ac:dyDescent="0.35">
      <c r="A2">
        <v>17267</v>
      </c>
      <c r="B2" t="s">
        <v>1</v>
      </c>
      <c r="C2">
        <v>0</v>
      </c>
      <c r="D2" t="s">
        <v>25</v>
      </c>
      <c r="E2" t="s">
        <v>26</v>
      </c>
      <c r="F2">
        <v>41</v>
      </c>
      <c r="G2" t="s">
        <v>26</v>
      </c>
      <c r="H2" t="s">
        <v>26</v>
      </c>
      <c r="I2" t="s">
        <v>27</v>
      </c>
      <c r="J2" t="s">
        <v>26</v>
      </c>
      <c r="K2" t="s">
        <v>26</v>
      </c>
      <c r="L2" t="s">
        <v>26</v>
      </c>
      <c r="M2" t="s">
        <v>25</v>
      </c>
      <c r="N2" t="s">
        <v>25</v>
      </c>
      <c r="O2" t="s">
        <v>25</v>
      </c>
      <c r="P2" t="s">
        <v>28</v>
      </c>
      <c r="Q2" t="s">
        <v>26</v>
      </c>
      <c r="R2" t="s">
        <v>29</v>
      </c>
      <c r="S2">
        <v>53.77</v>
      </c>
      <c r="T2">
        <v>848.51</v>
      </c>
      <c r="U2">
        <v>45506</v>
      </c>
      <c r="V2" t="s">
        <v>25</v>
      </c>
      <c r="W2" t="s">
        <v>30</v>
      </c>
    </row>
    <row r="3" spans="1:23" x14ac:dyDescent="0.35">
      <c r="A3">
        <v>9242</v>
      </c>
      <c r="B3" t="s">
        <v>31</v>
      </c>
      <c r="C3">
        <v>0</v>
      </c>
      <c r="D3" t="s">
        <v>26</v>
      </c>
      <c r="E3" t="s">
        <v>25</v>
      </c>
      <c r="F3">
        <v>27</v>
      </c>
      <c r="G3" t="s">
        <v>26</v>
      </c>
      <c r="H3" t="s">
        <v>26</v>
      </c>
      <c r="I3" t="s">
        <v>27</v>
      </c>
      <c r="J3" t="s">
        <v>26</v>
      </c>
      <c r="K3" t="s">
        <v>26</v>
      </c>
      <c r="L3" t="s">
        <v>26</v>
      </c>
      <c r="M3" t="s">
        <v>26</v>
      </c>
      <c r="N3" t="s">
        <v>25</v>
      </c>
      <c r="O3" t="s">
        <v>25</v>
      </c>
      <c r="P3" t="s">
        <v>32</v>
      </c>
      <c r="Q3" t="s">
        <v>26</v>
      </c>
      <c r="R3" t="s">
        <v>33</v>
      </c>
      <c r="S3">
        <v>84.76</v>
      </c>
      <c r="T3">
        <v>6916.82</v>
      </c>
      <c r="U3">
        <v>44757</v>
      </c>
      <c r="V3" t="s">
        <v>25</v>
      </c>
      <c r="W3" t="s">
        <v>30</v>
      </c>
    </row>
    <row r="4" spans="1:23" x14ac:dyDescent="0.35">
      <c r="A4">
        <v>19107</v>
      </c>
      <c r="B4" t="s">
        <v>34</v>
      </c>
      <c r="C4">
        <v>1</v>
      </c>
      <c r="D4" t="s">
        <v>26</v>
      </c>
      <c r="E4" t="s">
        <v>26</v>
      </c>
      <c r="F4">
        <v>36</v>
      </c>
      <c r="G4" t="s">
        <v>26</v>
      </c>
      <c r="H4" t="s">
        <v>26</v>
      </c>
      <c r="I4" t="s">
        <v>35</v>
      </c>
      <c r="J4" t="s">
        <v>25</v>
      </c>
      <c r="K4" t="s">
        <v>36</v>
      </c>
      <c r="L4" t="s">
        <v>37</v>
      </c>
      <c r="M4" t="s">
        <v>25</v>
      </c>
      <c r="N4" t="s">
        <v>25</v>
      </c>
      <c r="O4" t="s">
        <v>26</v>
      </c>
      <c r="P4" t="s">
        <v>32</v>
      </c>
      <c r="Q4" t="s">
        <v>36</v>
      </c>
      <c r="R4" t="s">
        <v>29</v>
      </c>
      <c r="S4">
        <v>28.61</v>
      </c>
      <c r="T4">
        <v>1099.8499999999999</v>
      </c>
      <c r="U4">
        <v>45490</v>
      </c>
      <c r="V4" t="s">
        <v>25</v>
      </c>
      <c r="W4" t="s">
        <v>30</v>
      </c>
    </row>
    <row r="5" spans="1:23" x14ac:dyDescent="0.35">
      <c r="A5">
        <v>8986</v>
      </c>
      <c r="B5" t="s">
        <v>31</v>
      </c>
      <c r="C5">
        <v>0</v>
      </c>
      <c r="D5" t="s">
        <v>25</v>
      </c>
      <c r="E5" t="s">
        <v>25</v>
      </c>
      <c r="F5">
        <v>1</v>
      </c>
      <c r="G5" t="s">
        <v>38</v>
      </c>
      <c r="H5" t="s">
        <v>38</v>
      </c>
      <c r="I5" t="s">
        <v>25</v>
      </c>
      <c r="J5" t="s">
        <v>25</v>
      </c>
      <c r="K5" t="s">
        <v>25</v>
      </c>
      <c r="L5" t="s">
        <v>37</v>
      </c>
      <c r="M5" t="s">
        <v>25</v>
      </c>
      <c r="N5" t="s">
        <v>26</v>
      </c>
      <c r="O5" t="s">
        <v>26</v>
      </c>
      <c r="P5" t="s">
        <v>32</v>
      </c>
      <c r="Q5" t="s">
        <v>25</v>
      </c>
      <c r="R5" t="s">
        <v>39</v>
      </c>
      <c r="S5">
        <v>119.07</v>
      </c>
      <c r="T5">
        <v>6943.98</v>
      </c>
      <c r="U5">
        <v>45447</v>
      </c>
      <c r="V5" t="s">
        <v>25</v>
      </c>
      <c r="W5" t="s">
        <v>30</v>
      </c>
    </row>
    <row r="6" spans="1:23" x14ac:dyDescent="0.35">
      <c r="A6">
        <v>2867</v>
      </c>
      <c r="B6" t="s">
        <v>34</v>
      </c>
      <c r="C6">
        <v>0</v>
      </c>
      <c r="D6" t="s">
        <v>25</v>
      </c>
      <c r="E6" t="s">
        <v>26</v>
      </c>
      <c r="F6">
        <v>20</v>
      </c>
      <c r="G6" t="s">
        <v>26</v>
      </c>
      <c r="H6" t="s">
        <v>26</v>
      </c>
      <c r="I6" t="s">
        <v>40</v>
      </c>
      <c r="J6" t="s">
        <v>25</v>
      </c>
      <c r="K6" t="s">
        <v>26</v>
      </c>
      <c r="L6" t="s">
        <v>37</v>
      </c>
      <c r="M6" t="s">
        <v>25</v>
      </c>
      <c r="N6" t="s">
        <v>38</v>
      </c>
      <c r="O6" t="s">
        <v>26</v>
      </c>
      <c r="P6" t="s">
        <v>32</v>
      </c>
      <c r="Q6" t="s">
        <v>25</v>
      </c>
      <c r="R6" t="s">
        <v>39</v>
      </c>
      <c r="S6">
        <v>108.74</v>
      </c>
      <c r="T6">
        <v>5279.77</v>
      </c>
      <c r="U6">
        <v>45046</v>
      </c>
      <c r="V6" t="s">
        <v>25</v>
      </c>
      <c r="W6" t="s">
        <v>30</v>
      </c>
    </row>
    <row r="7" spans="1:23" x14ac:dyDescent="0.35">
      <c r="A7">
        <v>3302</v>
      </c>
      <c r="B7" t="s">
        <v>31</v>
      </c>
      <c r="C7">
        <v>1</v>
      </c>
      <c r="D7" t="s">
        <v>25</v>
      </c>
      <c r="E7" t="s">
        <v>25</v>
      </c>
      <c r="F7">
        <v>42</v>
      </c>
      <c r="G7" t="s">
        <v>26</v>
      </c>
      <c r="H7" t="s">
        <v>25</v>
      </c>
      <c r="I7" t="s">
        <v>27</v>
      </c>
      <c r="J7" t="s">
        <v>26</v>
      </c>
      <c r="K7" t="s">
        <v>26</v>
      </c>
      <c r="L7" t="s">
        <v>26</v>
      </c>
      <c r="M7" t="s">
        <v>26</v>
      </c>
      <c r="N7" t="s">
        <v>25</v>
      </c>
      <c r="O7" t="s">
        <v>25</v>
      </c>
      <c r="P7" t="s">
        <v>41</v>
      </c>
      <c r="Q7" t="s">
        <v>26</v>
      </c>
      <c r="R7" t="s">
        <v>33</v>
      </c>
      <c r="S7">
        <v>55.79</v>
      </c>
      <c r="T7">
        <v>605.88</v>
      </c>
      <c r="U7">
        <v>44622</v>
      </c>
      <c r="V7" t="s">
        <v>25</v>
      </c>
      <c r="W7" t="s">
        <v>30</v>
      </c>
    </row>
    <row r="8" spans="1:23" x14ac:dyDescent="0.35">
      <c r="A8">
        <v>20661</v>
      </c>
      <c r="B8" t="s">
        <v>1</v>
      </c>
      <c r="C8" t="s">
        <v>26</v>
      </c>
      <c r="D8" t="s">
        <v>25</v>
      </c>
      <c r="E8" t="s">
        <v>26</v>
      </c>
      <c r="F8">
        <v>20</v>
      </c>
      <c r="G8" t="s">
        <v>25</v>
      </c>
      <c r="H8" t="s">
        <v>26</v>
      </c>
      <c r="I8" t="s">
        <v>27</v>
      </c>
      <c r="J8" t="s">
        <v>37</v>
      </c>
      <c r="K8" t="s">
        <v>25</v>
      </c>
      <c r="L8" t="s">
        <v>37</v>
      </c>
      <c r="M8" t="s">
        <v>26</v>
      </c>
      <c r="N8" t="s">
        <v>36</v>
      </c>
      <c r="O8" t="s">
        <v>25</v>
      </c>
      <c r="P8" t="s">
        <v>42</v>
      </c>
      <c r="Q8" t="s">
        <v>26</v>
      </c>
      <c r="R8" t="s">
        <v>43</v>
      </c>
      <c r="S8">
        <v>110.69</v>
      </c>
      <c r="T8">
        <v>2376.13</v>
      </c>
      <c r="U8">
        <v>45618</v>
      </c>
      <c r="V8" t="s">
        <v>25</v>
      </c>
      <c r="W8" t="s">
        <v>30</v>
      </c>
    </row>
    <row r="9" spans="1:23" x14ac:dyDescent="0.35">
      <c r="A9">
        <v>10234</v>
      </c>
      <c r="B9" t="s">
        <v>31</v>
      </c>
      <c r="C9" t="s">
        <v>26</v>
      </c>
      <c r="D9" t="s">
        <v>25</v>
      </c>
      <c r="E9" t="s">
        <v>25</v>
      </c>
      <c r="F9">
        <v>34</v>
      </c>
      <c r="G9" t="s">
        <v>26</v>
      </c>
      <c r="H9" t="s">
        <v>38</v>
      </c>
      <c r="I9" t="s">
        <v>27</v>
      </c>
      <c r="J9" t="s">
        <v>36</v>
      </c>
      <c r="K9" t="s">
        <v>25</v>
      </c>
      <c r="L9" t="s">
        <v>26</v>
      </c>
      <c r="M9" t="s">
        <v>25</v>
      </c>
      <c r="N9" t="s">
        <v>25</v>
      </c>
      <c r="O9" t="s">
        <v>26</v>
      </c>
      <c r="P9" t="s">
        <v>28</v>
      </c>
      <c r="Q9" t="s">
        <v>26</v>
      </c>
      <c r="R9" t="s">
        <v>44</v>
      </c>
      <c r="S9">
        <v>77.83</v>
      </c>
      <c r="T9">
        <v>1405.22</v>
      </c>
      <c r="U9">
        <v>44197</v>
      </c>
      <c r="V9" t="s">
        <v>25</v>
      </c>
      <c r="W9" t="s">
        <v>30</v>
      </c>
    </row>
    <row r="10" spans="1:23" x14ac:dyDescent="0.35">
      <c r="A10">
        <v>17456</v>
      </c>
      <c r="B10" t="s">
        <v>1</v>
      </c>
      <c r="C10">
        <v>0</v>
      </c>
      <c r="D10" t="s">
        <v>36</v>
      </c>
      <c r="E10" t="s">
        <v>25</v>
      </c>
      <c r="F10">
        <v>61</v>
      </c>
      <c r="G10" t="s">
        <v>26</v>
      </c>
      <c r="H10" t="s">
        <v>25</v>
      </c>
      <c r="I10" t="s">
        <v>27</v>
      </c>
      <c r="J10" t="s">
        <v>37</v>
      </c>
      <c r="K10" t="s">
        <v>26</v>
      </c>
      <c r="L10" t="s">
        <v>37</v>
      </c>
      <c r="M10" t="s">
        <v>25</v>
      </c>
      <c r="N10" t="s">
        <v>37</v>
      </c>
      <c r="O10" t="s">
        <v>26</v>
      </c>
      <c r="P10" t="s">
        <v>45</v>
      </c>
      <c r="Q10" t="s">
        <v>26</v>
      </c>
      <c r="R10" t="s">
        <v>33</v>
      </c>
      <c r="S10">
        <v>93.42</v>
      </c>
      <c r="T10">
        <v>6018.92</v>
      </c>
      <c r="U10">
        <v>45079</v>
      </c>
      <c r="V10" t="s">
        <v>25</v>
      </c>
      <c r="W10" t="s">
        <v>30</v>
      </c>
    </row>
    <row r="11" spans="1:23" x14ac:dyDescent="0.35">
      <c r="A11">
        <v>9474</v>
      </c>
      <c r="B11" t="s">
        <v>34</v>
      </c>
      <c r="C11">
        <v>1</v>
      </c>
      <c r="D11" t="s">
        <v>25</v>
      </c>
      <c r="E11" t="s">
        <v>26</v>
      </c>
      <c r="F11">
        <v>71</v>
      </c>
      <c r="G11" t="s">
        <v>26</v>
      </c>
      <c r="H11" t="s">
        <v>36</v>
      </c>
      <c r="I11" t="s">
        <v>27</v>
      </c>
      <c r="J11" t="s">
        <v>26</v>
      </c>
      <c r="K11" t="s">
        <v>37</v>
      </c>
      <c r="L11" t="s">
        <v>37</v>
      </c>
      <c r="M11" t="s">
        <v>26</v>
      </c>
      <c r="N11" t="s">
        <v>26</v>
      </c>
      <c r="O11" t="s">
        <v>26</v>
      </c>
      <c r="P11" t="s">
        <v>28</v>
      </c>
      <c r="Q11" t="s">
        <v>25</v>
      </c>
      <c r="R11" t="s">
        <v>39</v>
      </c>
      <c r="T11">
        <v>6337</v>
      </c>
      <c r="U11">
        <v>45106</v>
      </c>
      <c r="V11" t="s">
        <v>25</v>
      </c>
      <c r="W11" t="s">
        <v>30</v>
      </c>
    </row>
    <row r="12" spans="1:23" x14ac:dyDescent="0.35">
      <c r="A12">
        <v>15781</v>
      </c>
      <c r="B12" t="s">
        <v>46</v>
      </c>
      <c r="C12">
        <v>0</v>
      </c>
      <c r="D12" t="s">
        <v>26</v>
      </c>
      <c r="E12" t="s">
        <v>26</v>
      </c>
      <c r="F12">
        <v>66</v>
      </c>
      <c r="G12" t="s">
        <v>26</v>
      </c>
      <c r="H12" t="s">
        <v>47</v>
      </c>
      <c r="I12" t="s">
        <v>27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32</v>
      </c>
      <c r="Q12" t="s">
        <v>26</v>
      </c>
      <c r="R12" t="s">
        <v>29</v>
      </c>
      <c r="S12">
        <v>42.72</v>
      </c>
      <c r="T12">
        <v>6466.08</v>
      </c>
      <c r="U12">
        <v>45602</v>
      </c>
      <c r="V12" t="s">
        <v>25</v>
      </c>
      <c r="W12" t="s">
        <v>30</v>
      </c>
    </row>
    <row r="13" spans="1:23" x14ac:dyDescent="0.35">
      <c r="A13">
        <v>1829</v>
      </c>
      <c r="B13" t="s">
        <v>31</v>
      </c>
      <c r="C13">
        <v>0</v>
      </c>
      <c r="D13" t="s">
        <v>25</v>
      </c>
      <c r="E13" t="s">
        <v>25</v>
      </c>
      <c r="F13">
        <v>17</v>
      </c>
      <c r="G13" t="s">
        <v>26</v>
      </c>
      <c r="H13" t="s">
        <v>26</v>
      </c>
      <c r="I13" t="s">
        <v>27</v>
      </c>
      <c r="J13" t="s">
        <v>25</v>
      </c>
      <c r="K13" t="s">
        <v>25</v>
      </c>
      <c r="L13" t="s">
        <v>25</v>
      </c>
      <c r="M13" t="s">
        <v>26</v>
      </c>
      <c r="N13" t="s">
        <v>26</v>
      </c>
      <c r="O13" t="s">
        <v>37</v>
      </c>
      <c r="P13" t="s">
        <v>28</v>
      </c>
      <c r="Q13" t="s">
        <v>26</v>
      </c>
      <c r="R13" t="s">
        <v>33</v>
      </c>
      <c r="S13">
        <v>77.709999999999994</v>
      </c>
      <c r="T13">
        <v>6959.68</v>
      </c>
      <c r="U13">
        <v>43996</v>
      </c>
      <c r="V13" t="s">
        <v>25</v>
      </c>
      <c r="W13" t="s">
        <v>30</v>
      </c>
    </row>
    <row r="14" spans="1:23" x14ac:dyDescent="0.35">
      <c r="A14">
        <v>3982</v>
      </c>
      <c r="B14" t="s">
        <v>34</v>
      </c>
      <c r="C14">
        <v>1</v>
      </c>
      <c r="D14" t="s">
        <v>25</v>
      </c>
      <c r="E14" t="s">
        <v>38</v>
      </c>
      <c r="F14">
        <v>6</v>
      </c>
      <c r="G14" t="s">
        <v>26</v>
      </c>
      <c r="H14" t="s">
        <v>38</v>
      </c>
      <c r="I14" t="s">
        <v>25</v>
      </c>
      <c r="J14" t="s">
        <v>25</v>
      </c>
      <c r="K14" t="s">
        <v>37</v>
      </c>
      <c r="L14" t="s">
        <v>37</v>
      </c>
      <c r="M14" t="s">
        <v>37</v>
      </c>
      <c r="N14" t="s">
        <v>25</v>
      </c>
      <c r="O14" t="s">
        <v>25</v>
      </c>
      <c r="P14" t="s">
        <v>28</v>
      </c>
      <c r="Q14" t="s">
        <v>25</v>
      </c>
      <c r="R14" t="s">
        <v>29</v>
      </c>
      <c r="S14">
        <v>35.28</v>
      </c>
      <c r="T14">
        <v>659.67</v>
      </c>
      <c r="U14">
        <v>45054</v>
      </c>
      <c r="V14" t="s">
        <v>26</v>
      </c>
      <c r="W14" t="s">
        <v>30</v>
      </c>
    </row>
    <row r="15" spans="1:23" x14ac:dyDescent="0.35">
      <c r="A15">
        <v>19075</v>
      </c>
      <c r="B15" t="s">
        <v>34</v>
      </c>
      <c r="C15">
        <v>0</v>
      </c>
      <c r="D15" t="s">
        <v>26</v>
      </c>
      <c r="E15" t="s">
        <v>25</v>
      </c>
      <c r="F15">
        <v>65</v>
      </c>
      <c r="G15" t="s">
        <v>26</v>
      </c>
      <c r="H15" t="s">
        <v>47</v>
      </c>
      <c r="I15" t="s">
        <v>35</v>
      </c>
      <c r="J15" t="s">
        <v>37</v>
      </c>
      <c r="K15" t="s">
        <v>26</v>
      </c>
      <c r="L15" t="s">
        <v>26</v>
      </c>
      <c r="M15" t="s">
        <v>25</v>
      </c>
      <c r="N15" t="s">
        <v>26</v>
      </c>
      <c r="O15" t="s">
        <v>36</v>
      </c>
      <c r="P15" t="s">
        <v>45</v>
      </c>
      <c r="Q15" t="s">
        <v>38</v>
      </c>
      <c r="R15" t="s">
        <v>43</v>
      </c>
      <c r="S15">
        <v>92.86</v>
      </c>
      <c r="T15">
        <v>2951.16</v>
      </c>
      <c r="U15">
        <v>43953</v>
      </c>
      <c r="V15" t="s">
        <v>25</v>
      </c>
      <c r="W15" t="s">
        <v>30</v>
      </c>
    </row>
    <row r="16" spans="1:23" x14ac:dyDescent="0.35">
      <c r="A16">
        <v>13190</v>
      </c>
      <c r="B16" t="s">
        <v>31</v>
      </c>
      <c r="C16">
        <v>0</v>
      </c>
      <c r="D16" t="s">
        <v>26</v>
      </c>
      <c r="E16" t="s">
        <v>26</v>
      </c>
      <c r="F16">
        <v>59</v>
      </c>
      <c r="G16" t="s">
        <v>25</v>
      </c>
      <c r="H16" t="s">
        <v>25</v>
      </c>
      <c r="I16" t="s">
        <v>35</v>
      </c>
      <c r="J16" t="s">
        <v>37</v>
      </c>
      <c r="K16" t="s">
        <v>25</v>
      </c>
      <c r="L16" t="s">
        <v>26</v>
      </c>
      <c r="M16" t="s">
        <v>37</v>
      </c>
      <c r="N16" t="s">
        <v>25</v>
      </c>
      <c r="O16" t="s">
        <v>25</v>
      </c>
      <c r="P16" t="s">
        <v>48</v>
      </c>
      <c r="Q16" t="s">
        <v>26</v>
      </c>
      <c r="R16" t="s">
        <v>44</v>
      </c>
      <c r="S16">
        <v>72.650000000000006</v>
      </c>
      <c r="T16">
        <v>2443.94</v>
      </c>
      <c r="U16">
        <v>44964</v>
      </c>
      <c r="V16" t="s">
        <v>25</v>
      </c>
      <c r="W16" t="s">
        <v>30</v>
      </c>
    </row>
    <row r="17" spans="1:23" x14ac:dyDescent="0.35">
      <c r="A17">
        <v>5000</v>
      </c>
      <c r="B17" t="s">
        <v>34</v>
      </c>
      <c r="C17">
        <v>0</v>
      </c>
      <c r="D17" t="s">
        <v>25</v>
      </c>
      <c r="E17" t="s">
        <v>25</v>
      </c>
      <c r="F17">
        <v>55</v>
      </c>
      <c r="G17" t="s">
        <v>26</v>
      </c>
      <c r="H17" t="s">
        <v>25</v>
      </c>
      <c r="I17" t="s">
        <v>27</v>
      </c>
      <c r="J17" t="s">
        <v>26</v>
      </c>
      <c r="K17" t="s">
        <v>37</v>
      </c>
      <c r="L17" t="s">
        <v>26</v>
      </c>
      <c r="M17" t="s">
        <v>25</v>
      </c>
      <c r="N17" t="s">
        <v>36</v>
      </c>
      <c r="O17" t="s">
        <v>25</v>
      </c>
      <c r="P17" t="s">
        <v>28</v>
      </c>
      <c r="Q17" t="s">
        <v>25</v>
      </c>
      <c r="R17" t="s">
        <v>49</v>
      </c>
      <c r="S17">
        <v>84.7</v>
      </c>
      <c r="T17">
        <v>4653.91</v>
      </c>
      <c r="U17">
        <v>45002</v>
      </c>
      <c r="V17" t="s">
        <v>25</v>
      </c>
      <c r="W17" t="s">
        <v>30</v>
      </c>
    </row>
    <row r="18" spans="1:23" x14ac:dyDescent="0.35">
      <c r="A18">
        <v>9179</v>
      </c>
      <c r="B18" t="s">
        <v>34</v>
      </c>
      <c r="C18">
        <v>0</v>
      </c>
      <c r="D18" t="s">
        <v>26</v>
      </c>
      <c r="E18" t="s">
        <v>38</v>
      </c>
      <c r="F18">
        <v>33</v>
      </c>
      <c r="G18" t="s">
        <v>26</v>
      </c>
      <c r="H18" t="s">
        <v>38</v>
      </c>
      <c r="I18" t="s">
        <v>27</v>
      </c>
      <c r="J18" t="s">
        <v>26</v>
      </c>
      <c r="K18" t="s">
        <v>25</v>
      </c>
      <c r="L18" t="s">
        <v>26</v>
      </c>
      <c r="M18" t="s">
        <v>37</v>
      </c>
      <c r="N18" t="s">
        <v>26</v>
      </c>
      <c r="O18" t="s">
        <v>26</v>
      </c>
      <c r="P18" t="s">
        <v>32</v>
      </c>
      <c r="Q18" t="s">
        <v>25</v>
      </c>
      <c r="R18" t="s">
        <v>43</v>
      </c>
      <c r="S18">
        <v>60.27</v>
      </c>
      <c r="T18">
        <v>6165.34</v>
      </c>
      <c r="U18">
        <v>44919</v>
      </c>
      <c r="V18" t="s">
        <v>25</v>
      </c>
      <c r="W18" t="s">
        <v>30</v>
      </c>
    </row>
    <row r="19" spans="1:23" x14ac:dyDescent="0.35">
      <c r="A19">
        <v>19901</v>
      </c>
      <c r="B19" t="s">
        <v>34</v>
      </c>
      <c r="C19">
        <v>0</v>
      </c>
      <c r="D19" t="s">
        <v>26</v>
      </c>
      <c r="E19" t="s">
        <v>26</v>
      </c>
      <c r="F19">
        <v>8</v>
      </c>
      <c r="G19" t="s">
        <v>26</v>
      </c>
      <c r="H19" t="s">
        <v>47</v>
      </c>
      <c r="I19" t="s">
        <v>25</v>
      </c>
      <c r="J19" t="s">
        <v>26</v>
      </c>
      <c r="K19" t="s">
        <v>25</v>
      </c>
      <c r="L19" t="s">
        <v>26</v>
      </c>
      <c r="M19" t="s">
        <v>25</v>
      </c>
      <c r="N19" t="s">
        <v>25</v>
      </c>
      <c r="O19" t="s">
        <v>25</v>
      </c>
      <c r="P19" t="s">
        <v>32</v>
      </c>
      <c r="Q19" t="s">
        <v>25</v>
      </c>
      <c r="R19" t="s">
        <v>43</v>
      </c>
      <c r="S19">
        <v>110.59</v>
      </c>
      <c r="T19">
        <v>7286.05</v>
      </c>
      <c r="U19">
        <v>45353</v>
      </c>
      <c r="V19" t="s">
        <v>26</v>
      </c>
      <c r="W19" t="s">
        <v>30</v>
      </c>
    </row>
    <row r="20" spans="1:23" x14ac:dyDescent="0.35">
      <c r="A20">
        <v>7904</v>
      </c>
      <c r="B20" t="s">
        <v>31</v>
      </c>
      <c r="C20">
        <v>0</v>
      </c>
      <c r="D20" t="s">
        <v>26</v>
      </c>
      <c r="E20" t="s">
        <v>25</v>
      </c>
      <c r="F20">
        <v>43</v>
      </c>
      <c r="G20" t="s">
        <v>36</v>
      </c>
      <c r="H20" t="s">
        <v>25</v>
      </c>
      <c r="I20" t="s">
        <v>35</v>
      </c>
      <c r="J20" t="s">
        <v>26</v>
      </c>
      <c r="K20" t="s">
        <v>25</v>
      </c>
      <c r="L20" t="s">
        <v>26</v>
      </c>
      <c r="M20" t="s">
        <v>25</v>
      </c>
      <c r="N20" t="s">
        <v>37</v>
      </c>
      <c r="O20" t="s">
        <v>25</v>
      </c>
      <c r="P20" t="s">
        <v>28</v>
      </c>
      <c r="Q20" t="s">
        <v>25</v>
      </c>
      <c r="R20" t="s">
        <v>39</v>
      </c>
      <c r="S20">
        <v>87.22</v>
      </c>
      <c r="T20">
        <v>5466.61</v>
      </c>
      <c r="U20">
        <v>44456</v>
      </c>
      <c r="V20" t="s">
        <v>26</v>
      </c>
      <c r="W20" t="s">
        <v>30</v>
      </c>
    </row>
    <row r="21" spans="1:23" x14ac:dyDescent="0.35">
      <c r="A21">
        <v>20295</v>
      </c>
      <c r="B21" t="s">
        <v>1</v>
      </c>
      <c r="C21">
        <v>0</v>
      </c>
      <c r="D21" t="s">
        <v>26</v>
      </c>
      <c r="E21" t="s">
        <v>26</v>
      </c>
      <c r="F21">
        <v>69</v>
      </c>
      <c r="G21" t="s">
        <v>26</v>
      </c>
      <c r="H21" t="s">
        <v>47</v>
      </c>
      <c r="I21" t="s">
        <v>40</v>
      </c>
      <c r="J21" t="s">
        <v>37</v>
      </c>
      <c r="K21" t="s">
        <v>26</v>
      </c>
      <c r="L21" t="s">
        <v>37</v>
      </c>
      <c r="M21" t="s">
        <v>36</v>
      </c>
      <c r="N21" t="s">
        <v>25</v>
      </c>
      <c r="O21" t="s">
        <v>26</v>
      </c>
      <c r="P21" t="s">
        <v>45</v>
      </c>
      <c r="Q21" t="s">
        <v>25</v>
      </c>
      <c r="R21" t="s">
        <v>49</v>
      </c>
      <c r="S21">
        <v>66.680000000000007</v>
      </c>
      <c r="T21">
        <v>6010.68</v>
      </c>
      <c r="U21">
        <v>44795</v>
      </c>
      <c r="V21" t="s">
        <v>25</v>
      </c>
      <c r="W21" t="s">
        <v>30</v>
      </c>
    </row>
    <row r="22" spans="1:23" x14ac:dyDescent="0.35">
      <c r="A22">
        <v>5105</v>
      </c>
      <c r="B22" t="s">
        <v>34</v>
      </c>
      <c r="C22">
        <v>0</v>
      </c>
      <c r="D22" t="s">
        <v>26</v>
      </c>
      <c r="E22" t="s">
        <v>25</v>
      </c>
      <c r="F22">
        <v>70</v>
      </c>
      <c r="G22" t="s">
        <v>36</v>
      </c>
      <c r="H22" t="s">
        <v>47</v>
      </c>
      <c r="I22" t="s">
        <v>35</v>
      </c>
      <c r="J22" t="s">
        <v>25</v>
      </c>
      <c r="K22" t="s">
        <v>25</v>
      </c>
      <c r="L22" t="s">
        <v>26</v>
      </c>
      <c r="M22" t="s">
        <v>25</v>
      </c>
      <c r="N22" t="s">
        <v>26</v>
      </c>
      <c r="O22" t="s">
        <v>25</v>
      </c>
      <c r="P22" t="s">
        <v>32</v>
      </c>
      <c r="Q22" t="s">
        <v>26</v>
      </c>
      <c r="R22" t="s">
        <v>49</v>
      </c>
      <c r="S22">
        <v>66.42</v>
      </c>
      <c r="T22">
        <v>644</v>
      </c>
      <c r="U22">
        <v>45128</v>
      </c>
      <c r="V22" t="s">
        <v>25</v>
      </c>
      <c r="W22" t="s">
        <v>30</v>
      </c>
    </row>
    <row r="23" spans="1:23" x14ac:dyDescent="0.35">
      <c r="A23">
        <v>5412</v>
      </c>
      <c r="B23" t="s">
        <v>34</v>
      </c>
      <c r="C23">
        <v>0</v>
      </c>
      <c r="D23" t="s">
        <v>26</v>
      </c>
      <c r="E23" t="s">
        <v>26</v>
      </c>
      <c r="F23">
        <v>61</v>
      </c>
      <c r="G23" t="s">
        <v>26</v>
      </c>
      <c r="H23" t="s">
        <v>36</v>
      </c>
      <c r="I23" t="s">
        <v>35</v>
      </c>
      <c r="J23" t="s">
        <v>25</v>
      </c>
      <c r="K23" t="s">
        <v>37</v>
      </c>
      <c r="L23" t="s">
        <v>25</v>
      </c>
      <c r="M23" t="s">
        <v>37</v>
      </c>
      <c r="N23" t="s">
        <v>26</v>
      </c>
      <c r="O23" t="s">
        <v>25</v>
      </c>
      <c r="P23" t="s">
        <v>32</v>
      </c>
      <c r="Q23" t="s">
        <v>26</v>
      </c>
      <c r="R23" t="s">
        <v>33</v>
      </c>
      <c r="S23">
        <v>46.63</v>
      </c>
      <c r="T23">
        <v>4336.16</v>
      </c>
      <c r="U23">
        <v>45419</v>
      </c>
      <c r="V23" t="s">
        <v>26</v>
      </c>
      <c r="W23" t="s">
        <v>30</v>
      </c>
    </row>
    <row r="24" spans="1:23" x14ac:dyDescent="0.35">
      <c r="A24">
        <v>20617</v>
      </c>
      <c r="B24" t="s">
        <v>31</v>
      </c>
      <c r="C24">
        <v>0</v>
      </c>
      <c r="D24" t="s">
        <v>26</v>
      </c>
      <c r="E24" t="s">
        <v>26</v>
      </c>
      <c r="F24">
        <v>45</v>
      </c>
      <c r="G24" t="s">
        <v>26</v>
      </c>
      <c r="H24" t="s">
        <v>25</v>
      </c>
      <c r="I24" t="s">
        <v>25</v>
      </c>
      <c r="J24" t="s">
        <v>25</v>
      </c>
      <c r="K24" t="s">
        <v>37</v>
      </c>
      <c r="L24" t="s">
        <v>37</v>
      </c>
      <c r="M24" t="s">
        <v>25</v>
      </c>
      <c r="N24" t="s">
        <v>26</v>
      </c>
      <c r="O24" t="s">
        <v>26</v>
      </c>
      <c r="P24" t="s">
        <v>41</v>
      </c>
      <c r="Q24" t="s">
        <v>25</v>
      </c>
      <c r="R24" t="s">
        <v>33</v>
      </c>
      <c r="T24">
        <v>2713.77</v>
      </c>
      <c r="U24">
        <v>45587</v>
      </c>
      <c r="V24" t="s">
        <v>25</v>
      </c>
      <c r="W24" t="s">
        <v>30</v>
      </c>
    </row>
    <row r="25" spans="1:23" x14ac:dyDescent="0.35">
      <c r="A25">
        <v>10935</v>
      </c>
      <c r="B25" t="s">
        <v>34</v>
      </c>
      <c r="C25">
        <v>0</v>
      </c>
      <c r="D25" t="s">
        <v>25</v>
      </c>
      <c r="E25" t="s">
        <v>25</v>
      </c>
      <c r="F25">
        <v>52</v>
      </c>
      <c r="G25" t="s">
        <v>26</v>
      </c>
      <c r="H25" t="s">
        <v>25</v>
      </c>
      <c r="I25" t="s">
        <v>25</v>
      </c>
      <c r="J25" t="s">
        <v>26</v>
      </c>
      <c r="K25" t="s">
        <v>26</v>
      </c>
      <c r="L25" t="s">
        <v>38</v>
      </c>
      <c r="M25" t="s">
        <v>37</v>
      </c>
      <c r="N25" t="s">
        <v>26</v>
      </c>
      <c r="O25" t="s">
        <v>26</v>
      </c>
      <c r="P25" t="s">
        <v>32</v>
      </c>
      <c r="Q25" t="s">
        <v>26</v>
      </c>
      <c r="R25" t="s">
        <v>49</v>
      </c>
      <c r="S25">
        <v>57.79</v>
      </c>
      <c r="T25">
        <v>3434.33</v>
      </c>
      <c r="U25">
        <v>45148</v>
      </c>
      <c r="V25" t="s">
        <v>25</v>
      </c>
      <c r="W25" t="s">
        <v>50</v>
      </c>
    </row>
    <row r="26" spans="1:23" x14ac:dyDescent="0.35">
      <c r="A26">
        <v>17847</v>
      </c>
      <c r="B26" t="s">
        <v>51</v>
      </c>
      <c r="C26">
        <v>0</v>
      </c>
      <c r="D26" t="s">
        <v>25</v>
      </c>
      <c r="E26" t="s">
        <v>25</v>
      </c>
      <c r="F26">
        <v>40</v>
      </c>
      <c r="G26" t="s">
        <v>25</v>
      </c>
      <c r="H26" t="s">
        <v>25</v>
      </c>
      <c r="I26" t="s">
        <v>35</v>
      </c>
      <c r="J26" t="s">
        <v>37</v>
      </c>
      <c r="K26" t="s">
        <v>25</v>
      </c>
      <c r="L26" t="s">
        <v>26</v>
      </c>
      <c r="M26" t="s">
        <v>37</v>
      </c>
      <c r="N26" t="s">
        <v>26</v>
      </c>
      <c r="O26" t="s">
        <v>26</v>
      </c>
      <c r="P26" t="s">
        <v>28</v>
      </c>
      <c r="Q26" t="s">
        <v>25</v>
      </c>
      <c r="R26" t="s">
        <v>39</v>
      </c>
      <c r="S26">
        <v>21.13</v>
      </c>
      <c r="T26">
        <v>6920.12</v>
      </c>
      <c r="U26">
        <v>44400</v>
      </c>
      <c r="V26" t="s">
        <v>25</v>
      </c>
      <c r="W26" t="s">
        <v>30</v>
      </c>
    </row>
    <row r="27" spans="1:23" x14ac:dyDescent="0.35">
      <c r="A27">
        <v>1352</v>
      </c>
      <c r="B27" t="s">
        <v>46</v>
      </c>
      <c r="C27">
        <v>0</v>
      </c>
      <c r="D27" t="s">
        <v>26</v>
      </c>
      <c r="E27" t="s">
        <v>25</v>
      </c>
      <c r="F27">
        <v>26</v>
      </c>
      <c r="G27" t="s">
        <v>26</v>
      </c>
      <c r="H27" t="s">
        <v>25</v>
      </c>
      <c r="I27" t="s">
        <v>25</v>
      </c>
      <c r="J27" t="s">
        <v>37</v>
      </c>
      <c r="K27" t="s">
        <v>26</v>
      </c>
      <c r="L27" t="s">
        <v>37</v>
      </c>
      <c r="M27" t="s">
        <v>25</v>
      </c>
      <c r="N27" t="s">
        <v>25</v>
      </c>
      <c r="O27" t="s">
        <v>36</v>
      </c>
      <c r="P27" t="s">
        <v>28</v>
      </c>
      <c r="Q27" t="s">
        <v>25</v>
      </c>
      <c r="R27" t="s">
        <v>43</v>
      </c>
      <c r="T27">
        <v>5505.26</v>
      </c>
      <c r="U27">
        <v>43985</v>
      </c>
      <c r="V27" t="s">
        <v>25</v>
      </c>
      <c r="W27" t="s">
        <v>30</v>
      </c>
    </row>
    <row r="28" spans="1:23" x14ac:dyDescent="0.35">
      <c r="A28">
        <v>20899</v>
      </c>
      <c r="B28" t="s">
        <v>0</v>
      </c>
      <c r="C28">
        <v>0</v>
      </c>
      <c r="D28" t="s">
        <v>38</v>
      </c>
      <c r="E28" t="s">
        <v>26</v>
      </c>
      <c r="F28">
        <v>22</v>
      </c>
      <c r="G28" t="s">
        <v>38</v>
      </c>
      <c r="H28" t="s">
        <v>26</v>
      </c>
      <c r="I28" t="s">
        <v>40</v>
      </c>
      <c r="J28" t="s">
        <v>25</v>
      </c>
      <c r="K28" t="s">
        <v>38</v>
      </c>
      <c r="L28" t="s">
        <v>25</v>
      </c>
      <c r="M28" t="s">
        <v>37</v>
      </c>
      <c r="N28" t="s">
        <v>25</v>
      </c>
      <c r="O28" t="s">
        <v>26</v>
      </c>
      <c r="P28" t="s">
        <v>45</v>
      </c>
      <c r="Q28" t="s">
        <v>25</v>
      </c>
      <c r="R28" t="s">
        <v>44</v>
      </c>
      <c r="S28">
        <v>115.47</v>
      </c>
      <c r="T28">
        <v>7173.88</v>
      </c>
      <c r="U28">
        <v>45091</v>
      </c>
      <c r="V28" t="s">
        <v>25</v>
      </c>
      <c r="W28" t="s">
        <v>30</v>
      </c>
    </row>
    <row r="29" spans="1:23" x14ac:dyDescent="0.35">
      <c r="A29">
        <v>17345</v>
      </c>
      <c r="B29" t="s">
        <v>34</v>
      </c>
      <c r="C29">
        <v>0</v>
      </c>
      <c r="D29" t="s">
        <v>26</v>
      </c>
      <c r="E29" t="s">
        <v>26</v>
      </c>
      <c r="F29">
        <v>7</v>
      </c>
      <c r="G29" t="s">
        <v>26</v>
      </c>
      <c r="H29" t="s">
        <v>25</v>
      </c>
      <c r="I29" t="s">
        <v>35</v>
      </c>
      <c r="J29" t="s">
        <v>25</v>
      </c>
      <c r="K29" t="s">
        <v>25</v>
      </c>
      <c r="L29" t="s">
        <v>25</v>
      </c>
      <c r="M29" t="s">
        <v>26</v>
      </c>
      <c r="N29" t="s">
        <v>37</v>
      </c>
      <c r="O29" t="s">
        <v>37</v>
      </c>
      <c r="P29" t="s">
        <v>28</v>
      </c>
      <c r="Q29" t="s">
        <v>26</v>
      </c>
      <c r="R29" t="s">
        <v>29</v>
      </c>
      <c r="S29">
        <v>61.19</v>
      </c>
      <c r="T29">
        <v>3875.36</v>
      </c>
      <c r="U29">
        <v>45373</v>
      </c>
      <c r="V29" t="s">
        <v>25</v>
      </c>
      <c r="W29" t="s">
        <v>30</v>
      </c>
    </row>
    <row r="30" spans="1:23" x14ac:dyDescent="0.35">
      <c r="A30">
        <v>17901</v>
      </c>
      <c r="B30" t="s">
        <v>34</v>
      </c>
      <c r="C30" t="s">
        <v>25</v>
      </c>
      <c r="D30" t="s">
        <v>25</v>
      </c>
      <c r="E30" t="s">
        <v>25</v>
      </c>
      <c r="F30">
        <v>51</v>
      </c>
      <c r="G30" t="s">
        <v>26</v>
      </c>
      <c r="H30" t="s">
        <v>47</v>
      </c>
      <c r="I30" t="s">
        <v>35</v>
      </c>
      <c r="J30" t="s">
        <v>26</v>
      </c>
      <c r="K30" t="s">
        <v>37</v>
      </c>
      <c r="L30" t="s">
        <v>25</v>
      </c>
      <c r="M30" t="s">
        <v>26</v>
      </c>
      <c r="N30" t="s">
        <v>38</v>
      </c>
      <c r="O30" t="s">
        <v>26</v>
      </c>
      <c r="P30" t="s">
        <v>41</v>
      </c>
      <c r="Q30" t="s">
        <v>25</v>
      </c>
      <c r="R30" t="s">
        <v>29</v>
      </c>
      <c r="S30">
        <v>106.13</v>
      </c>
      <c r="T30">
        <v>5453.2</v>
      </c>
      <c r="U30">
        <v>45151</v>
      </c>
      <c r="V30" t="s">
        <v>25</v>
      </c>
      <c r="W30" t="s">
        <v>30</v>
      </c>
    </row>
    <row r="31" spans="1:23" x14ac:dyDescent="0.35">
      <c r="A31">
        <v>16068</v>
      </c>
      <c r="B31" t="s">
        <v>31</v>
      </c>
      <c r="C31">
        <v>0</v>
      </c>
      <c r="D31" t="s">
        <v>25</v>
      </c>
      <c r="E31" t="s">
        <v>26</v>
      </c>
      <c r="F31">
        <v>29</v>
      </c>
      <c r="G31" t="s">
        <v>26</v>
      </c>
      <c r="H31" t="s">
        <v>47</v>
      </c>
      <c r="I31" t="s">
        <v>27</v>
      </c>
      <c r="J31" t="s">
        <v>26</v>
      </c>
      <c r="K31" t="s">
        <v>37</v>
      </c>
      <c r="L31" t="s">
        <v>25</v>
      </c>
      <c r="M31" t="s">
        <v>26</v>
      </c>
      <c r="N31" t="s">
        <v>37</v>
      </c>
      <c r="O31" t="s">
        <v>25</v>
      </c>
      <c r="P31" t="s">
        <v>32</v>
      </c>
      <c r="Q31" t="s">
        <v>25</v>
      </c>
      <c r="R31" t="s">
        <v>49</v>
      </c>
      <c r="S31">
        <v>66.989999999999995</v>
      </c>
      <c r="T31">
        <v>1252.83</v>
      </c>
      <c r="U31">
        <v>45278</v>
      </c>
      <c r="V31" t="s">
        <v>25</v>
      </c>
      <c r="W31" t="s">
        <v>30</v>
      </c>
    </row>
    <row r="32" spans="1:23" x14ac:dyDescent="0.35">
      <c r="A32">
        <v>3253</v>
      </c>
      <c r="B32" t="s">
        <v>31</v>
      </c>
      <c r="C32">
        <v>0</v>
      </c>
      <c r="D32" t="s">
        <v>25</v>
      </c>
      <c r="E32" t="s">
        <v>25</v>
      </c>
      <c r="F32">
        <v>40</v>
      </c>
      <c r="G32" t="s">
        <v>26</v>
      </c>
      <c r="H32" t="s">
        <v>26</v>
      </c>
      <c r="I32" t="s">
        <v>27</v>
      </c>
      <c r="J32" t="s">
        <v>25</v>
      </c>
      <c r="K32" t="s">
        <v>25</v>
      </c>
      <c r="L32" t="s">
        <v>26</v>
      </c>
      <c r="M32" t="s">
        <v>25</v>
      </c>
      <c r="N32" t="s">
        <v>37</v>
      </c>
      <c r="O32" t="s">
        <v>25</v>
      </c>
      <c r="P32" t="s">
        <v>41</v>
      </c>
      <c r="Q32" t="s">
        <v>26</v>
      </c>
      <c r="R32" t="s">
        <v>33</v>
      </c>
      <c r="S32">
        <v>68.61</v>
      </c>
      <c r="T32">
        <v>552.63</v>
      </c>
      <c r="U32">
        <v>44752</v>
      </c>
      <c r="V32" t="s">
        <v>25</v>
      </c>
      <c r="W32" t="s">
        <v>30</v>
      </c>
    </row>
    <row r="33" spans="1:23" x14ac:dyDescent="0.35">
      <c r="A33">
        <v>19906</v>
      </c>
      <c r="B33" t="s">
        <v>31</v>
      </c>
      <c r="C33">
        <v>0</v>
      </c>
      <c r="D33" t="s">
        <v>26</v>
      </c>
      <c r="E33" t="s">
        <v>25</v>
      </c>
      <c r="F33">
        <v>67</v>
      </c>
      <c r="G33" t="s">
        <v>26</v>
      </c>
      <c r="H33" t="s">
        <v>26</v>
      </c>
      <c r="I33" t="s">
        <v>35</v>
      </c>
      <c r="J33" t="s">
        <v>26</v>
      </c>
      <c r="K33" t="s">
        <v>37</v>
      </c>
      <c r="L33" t="s">
        <v>37</v>
      </c>
      <c r="M33" t="s">
        <v>26</v>
      </c>
      <c r="N33" t="s">
        <v>37</v>
      </c>
      <c r="O33" t="s">
        <v>26</v>
      </c>
      <c r="P33" t="s">
        <v>48</v>
      </c>
      <c r="Q33" t="s">
        <v>26</v>
      </c>
      <c r="R33" t="s">
        <v>39</v>
      </c>
      <c r="S33">
        <v>41.01</v>
      </c>
      <c r="T33">
        <v>1817.01</v>
      </c>
      <c r="U33">
        <v>44246</v>
      </c>
      <c r="V33" t="s">
        <v>25</v>
      </c>
      <c r="W33" t="s">
        <v>30</v>
      </c>
    </row>
    <row r="34" spans="1:23" x14ac:dyDescent="0.35">
      <c r="A34">
        <v>10721</v>
      </c>
      <c r="B34" t="s">
        <v>31</v>
      </c>
      <c r="C34">
        <v>0</v>
      </c>
      <c r="D34" t="s">
        <v>25</v>
      </c>
      <c r="E34" t="s">
        <v>25</v>
      </c>
      <c r="F34">
        <v>17</v>
      </c>
      <c r="G34" t="s">
        <v>26</v>
      </c>
      <c r="H34" t="s">
        <v>26</v>
      </c>
      <c r="I34" t="s">
        <v>25</v>
      </c>
      <c r="J34" t="s">
        <v>25</v>
      </c>
      <c r="K34" t="s">
        <v>37</v>
      </c>
      <c r="L34" t="s">
        <v>26</v>
      </c>
      <c r="M34" t="s">
        <v>37</v>
      </c>
      <c r="N34" t="s">
        <v>37</v>
      </c>
      <c r="O34" t="s">
        <v>25</v>
      </c>
      <c r="P34" t="s">
        <v>28</v>
      </c>
      <c r="Q34" t="s">
        <v>26</v>
      </c>
      <c r="R34" t="s">
        <v>39</v>
      </c>
      <c r="S34">
        <v>40.19</v>
      </c>
      <c r="T34">
        <v>5921.9</v>
      </c>
      <c r="U34">
        <v>45213</v>
      </c>
      <c r="V34" t="s">
        <v>25</v>
      </c>
      <c r="W34" t="s">
        <v>30</v>
      </c>
    </row>
    <row r="35" spans="1:23" x14ac:dyDescent="0.35">
      <c r="A35">
        <v>19774</v>
      </c>
      <c r="B35" t="s">
        <v>31</v>
      </c>
      <c r="C35">
        <v>0</v>
      </c>
      <c r="D35" t="s">
        <v>26</v>
      </c>
      <c r="E35" t="s">
        <v>25</v>
      </c>
      <c r="F35">
        <v>11</v>
      </c>
      <c r="G35" t="s">
        <v>26</v>
      </c>
      <c r="H35" t="s">
        <v>26</v>
      </c>
      <c r="I35" t="s">
        <v>25</v>
      </c>
      <c r="J35" t="s">
        <v>37</v>
      </c>
      <c r="K35" t="s">
        <v>26</v>
      </c>
      <c r="L35" t="s">
        <v>25</v>
      </c>
      <c r="M35" t="s">
        <v>37</v>
      </c>
      <c r="N35" t="s">
        <v>25</v>
      </c>
      <c r="O35" t="s">
        <v>26</v>
      </c>
      <c r="P35" t="s">
        <v>28</v>
      </c>
      <c r="Q35" t="s">
        <v>25</v>
      </c>
      <c r="R35" t="s">
        <v>39</v>
      </c>
      <c r="S35">
        <v>21.46</v>
      </c>
      <c r="T35">
        <v>360.46</v>
      </c>
      <c r="U35">
        <v>44279</v>
      </c>
      <c r="V35" t="s">
        <v>25</v>
      </c>
      <c r="W35" t="s">
        <v>30</v>
      </c>
    </row>
    <row r="36" spans="1:23" x14ac:dyDescent="0.35">
      <c r="A36">
        <v>14471</v>
      </c>
      <c r="B36" t="s">
        <v>34</v>
      </c>
      <c r="C36">
        <v>0</v>
      </c>
      <c r="D36" t="s">
        <v>26</v>
      </c>
      <c r="E36" t="s">
        <v>25</v>
      </c>
      <c r="F36">
        <v>41</v>
      </c>
      <c r="G36" t="s">
        <v>38</v>
      </c>
      <c r="H36" t="s">
        <v>25</v>
      </c>
      <c r="I36" t="s">
        <v>27</v>
      </c>
      <c r="J36" t="s">
        <v>26</v>
      </c>
      <c r="K36" t="s">
        <v>25</v>
      </c>
      <c r="L36" t="s">
        <v>25</v>
      </c>
      <c r="M36" t="s">
        <v>25</v>
      </c>
      <c r="N36" t="s">
        <v>38</v>
      </c>
      <c r="O36" t="s">
        <v>25</v>
      </c>
      <c r="P36" t="s">
        <v>32</v>
      </c>
      <c r="Q36" t="s">
        <v>26</v>
      </c>
      <c r="R36" t="s">
        <v>33</v>
      </c>
      <c r="S36">
        <v>38.79</v>
      </c>
      <c r="T36">
        <v>2093.59</v>
      </c>
      <c r="U36">
        <v>44311</v>
      </c>
      <c r="V36" t="s">
        <v>25</v>
      </c>
      <c r="W36" t="s">
        <v>30</v>
      </c>
    </row>
    <row r="37" spans="1:23" x14ac:dyDescent="0.35">
      <c r="A37">
        <v>7384</v>
      </c>
      <c r="B37" t="s">
        <v>34</v>
      </c>
      <c r="C37">
        <v>0</v>
      </c>
      <c r="D37" t="s">
        <v>25</v>
      </c>
      <c r="E37" t="s">
        <v>26</v>
      </c>
      <c r="F37">
        <v>62</v>
      </c>
      <c r="G37" t="s">
        <v>25</v>
      </c>
      <c r="H37" t="s">
        <v>25</v>
      </c>
      <c r="I37" t="s">
        <v>35</v>
      </c>
      <c r="J37" t="s">
        <v>26</v>
      </c>
      <c r="K37" t="s">
        <v>36</v>
      </c>
      <c r="L37" t="s">
        <v>25</v>
      </c>
      <c r="M37" t="s">
        <v>25</v>
      </c>
      <c r="N37" t="s">
        <v>25</v>
      </c>
      <c r="O37" t="s">
        <v>25</v>
      </c>
      <c r="P37" t="s">
        <v>32</v>
      </c>
      <c r="Q37" t="s">
        <v>25</v>
      </c>
      <c r="R37" t="s">
        <v>43</v>
      </c>
      <c r="S37">
        <v>61.86</v>
      </c>
      <c r="U37">
        <v>45179</v>
      </c>
      <c r="V37" t="s">
        <v>25</v>
      </c>
      <c r="W37" t="s">
        <v>30</v>
      </c>
    </row>
    <row r="38" spans="1:23" x14ac:dyDescent="0.35">
      <c r="A38">
        <v>5141</v>
      </c>
      <c r="B38" t="s">
        <v>34</v>
      </c>
      <c r="C38">
        <v>0</v>
      </c>
      <c r="D38" t="s">
        <v>38</v>
      </c>
      <c r="E38" t="s">
        <v>26</v>
      </c>
      <c r="F38">
        <v>46</v>
      </c>
      <c r="G38" t="s">
        <v>36</v>
      </c>
      <c r="H38" t="s">
        <v>38</v>
      </c>
      <c r="I38" t="s">
        <v>27</v>
      </c>
      <c r="J38" t="s">
        <v>26</v>
      </c>
      <c r="K38" t="s">
        <v>26</v>
      </c>
      <c r="L38" t="s">
        <v>36</v>
      </c>
      <c r="M38" t="s">
        <v>25</v>
      </c>
      <c r="N38" t="s">
        <v>26</v>
      </c>
      <c r="O38" t="s">
        <v>26</v>
      </c>
      <c r="P38" t="s">
        <v>28</v>
      </c>
      <c r="Q38" t="s">
        <v>26</v>
      </c>
      <c r="R38" t="s">
        <v>39</v>
      </c>
      <c r="S38">
        <v>96.94</v>
      </c>
      <c r="T38">
        <v>2840.14</v>
      </c>
      <c r="U38">
        <v>44558</v>
      </c>
      <c r="V38" t="s">
        <v>25</v>
      </c>
      <c r="W38" t="s">
        <v>30</v>
      </c>
    </row>
    <row r="39" spans="1:23" x14ac:dyDescent="0.35">
      <c r="A39">
        <v>19045</v>
      </c>
      <c r="B39" t="s">
        <v>51</v>
      </c>
      <c r="C39">
        <v>0</v>
      </c>
      <c r="D39" t="s">
        <v>26</v>
      </c>
      <c r="E39" t="s">
        <v>25</v>
      </c>
      <c r="F39">
        <v>9</v>
      </c>
      <c r="G39" t="s">
        <v>26</v>
      </c>
      <c r="H39" t="s">
        <v>25</v>
      </c>
      <c r="I39" t="s">
        <v>27</v>
      </c>
      <c r="J39" t="s">
        <v>37</v>
      </c>
      <c r="K39" t="s">
        <v>25</v>
      </c>
      <c r="L39" t="s">
        <v>37</v>
      </c>
      <c r="M39" t="s">
        <v>37</v>
      </c>
      <c r="N39" t="s">
        <v>25</v>
      </c>
      <c r="O39" t="s">
        <v>26</v>
      </c>
      <c r="P39" t="s">
        <v>48</v>
      </c>
      <c r="Q39" t="s">
        <v>26</v>
      </c>
      <c r="R39" t="s">
        <v>33</v>
      </c>
      <c r="S39">
        <v>92.52</v>
      </c>
      <c r="T39">
        <v>6679.95</v>
      </c>
      <c r="U39">
        <v>44303</v>
      </c>
      <c r="V39" t="s">
        <v>25</v>
      </c>
      <c r="W39" t="s">
        <v>30</v>
      </c>
    </row>
    <row r="40" spans="1:23" x14ac:dyDescent="0.35">
      <c r="A40">
        <v>13170</v>
      </c>
      <c r="B40" t="s">
        <v>34</v>
      </c>
      <c r="C40">
        <v>1</v>
      </c>
      <c r="D40" t="s">
        <v>25</v>
      </c>
      <c r="E40" t="s">
        <v>25</v>
      </c>
      <c r="F40">
        <v>5</v>
      </c>
      <c r="G40" t="s">
        <v>26</v>
      </c>
      <c r="H40" t="s">
        <v>47</v>
      </c>
      <c r="I40" t="s">
        <v>35</v>
      </c>
      <c r="J40" t="s">
        <v>26</v>
      </c>
      <c r="K40" t="s">
        <v>37</v>
      </c>
      <c r="L40" t="s">
        <v>26</v>
      </c>
      <c r="M40" t="s">
        <v>25</v>
      </c>
      <c r="N40" t="s">
        <v>38</v>
      </c>
      <c r="O40" t="s">
        <v>25</v>
      </c>
      <c r="P40" t="s">
        <v>45</v>
      </c>
      <c r="Q40" t="s">
        <v>26</v>
      </c>
      <c r="R40" t="s">
        <v>49</v>
      </c>
      <c r="S40">
        <v>20.66</v>
      </c>
      <c r="T40">
        <v>1060.08</v>
      </c>
      <c r="U40">
        <v>43906</v>
      </c>
      <c r="V40" t="s">
        <v>25</v>
      </c>
      <c r="W40" t="s">
        <v>30</v>
      </c>
    </row>
    <row r="41" spans="1:23" x14ac:dyDescent="0.35">
      <c r="A41">
        <v>5619</v>
      </c>
      <c r="B41" t="s">
        <v>34</v>
      </c>
      <c r="C41">
        <v>0</v>
      </c>
      <c r="D41" t="s">
        <v>25</v>
      </c>
      <c r="E41" t="s">
        <v>25</v>
      </c>
      <c r="F41">
        <v>29</v>
      </c>
      <c r="G41" t="s">
        <v>26</v>
      </c>
      <c r="H41" t="s">
        <v>25</v>
      </c>
      <c r="I41" t="s">
        <v>27</v>
      </c>
      <c r="J41" t="s">
        <v>37</v>
      </c>
      <c r="K41" t="s">
        <v>37</v>
      </c>
      <c r="L41" t="s">
        <v>25</v>
      </c>
      <c r="M41" t="s">
        <v>26</v>
      </c>
      <c r="N41" t="s">
        <v>26</v>
      </c>
      <c r="O41" t="s">
        <v>26</v>
      </c>
      <c r="P41" t="s">
        <v>28</v>
      </c>
      <c r="Q41" t="s">
        <v>25</v>
      </c>
      <c r="R41" t="s">
        <v>33</v>
      </c>
      <c r="S41">
        <v>39.6</v>
      </c>
      <c r="T41">
        <v>585</v>
      </c>
      <c r="U41">
        <v>44614</v>
      </c>
      <c r="V41" t="s">
        <v>25</v>
      </c>
      <c r="W41" t="s">
        <v>50</v>
      </c>
    </row>
    <row r="42" spans="1:23" x14ac:dyDescent="0.35">
      <c r="A42">
        <v>17887</v>
      </c>
      <c r="B42" t="s">
        <v>1</v>
      </c>
      <c r="C42">
        <v>0</v>
      </c>
      <c r="D42" t="s">
        <v>26</v>
      </c>
      <c r="E42" t="s">
        <v>26</v>
      </c>
      <c r="F42">
        <v>53</v>
      </c>
      <c r="G42" t="s">
        <v>26</v>
      </c>
      <c r="H42" t="s">
        <v>26</v>
      </c>
      <c r="I42" t="s">
        <v>25</v>
      </c>
      <c r="J42" t="s">
        <v>37</v>
      </c>
      <c r="K42" t="s">
        <v>25</v>
      </c>
      <c r="L42" t="s">
        <v>25</v>
      </c>
      <c r="M42" t="s">
        <v>25</v>
      </c>
      <c r="N42" t="s">
        <v>38</v>
      </c>
      <c r="O42" t="s">
        <v>37</v>
      </c>
      <c r="P42" t="s">
        <v>32</v>
      </c>
      <c r="Q42" t="s">
        <v>26</v>
      </c>
      <c r="R42" t="s">
        <v>29</v>
      </c>
      <c r="S42">
        <v>25.71</v>
      </c>
      <c r="T42">
        <v>7052.53</v>
      </c>
      <c r="U42">
        <v>45435</v>
      </c>
      <c r="V42" t="s">
        <v>25</v>
      </c>
      <c r="W42" t="s">
        <v>30</v>
      </c>
    </row>
    <row r="43" spans="1:23" x14ac:dyDescent="0.35">
      <c r="A43">
        <v>1439</v>
      </c>
      <c r="B43" t="s">
        <v>31</v>
      </c>
      <c r="C43">
        <v>0</v>
      </c>
      <c r="D43" t="s">
        <v>38</v>
      </c>
      <c r="E43" t="s">
        <v>38</v>
      </c>
      <c r="F43">
        <v>29</v>
      </c>
      <c r="G43" t="s">
        <v>26</v>
      </c>
      <c r="H43" t="s">
        <v>26</v>
      </c>
      <c r="I43" t="s">
        <v>40</v>
      </c>
      <c r="J43" t="s">
        <v>25</v>
      </c>
      <c r="K43" t="s">
        <v>25</v>
      </c>
      <c r="L43" t="s">
        <v>37</v>
      </c>
      <c r="M43" t="s">
        <v>26</v>
      </c>
      <c r="N43" t="s">
        <v>38</v>
      </c>
      <c r="O43" t="s">
        <v>26</v>
      </c>
      <c r="P43" t="s">
        <v>32</v>
      </c>
      <c r="Q43" t="s">
        <v>25</v>
      </c>
      <c r="R43" t="s">
        <v>39</v>
      </c>
      <c r="S43">
        <v>73.319999999999993</v>
      </c>
      <c r="T43">
        <v>5559.58</v>
      </c>
      <c r="U43">
        <v>44365</v>
      </c>
      <c r="V43" t="s">
        <v>25</v>
      </c>
      <c r="W43" t="s">
        <v>30</v>
      </c>
    </row>
    <row r="44" spans="1:23" x14ac:dyDescent="0.35">
      <c r="A44">
        <v>2085</v>
      </c>
      <c r="B44" t="s">
        <v>0</v>
      </c>
      <c r="C44">
        <v>0</v>
      </c>
      <c r="D44" t="s">
        <v>26</v>
      </c>
      <c r="E44" t="s">
        <v>36</v>
      </c>
      <c r="F44">
        <v>56</v>
      </c>
      <c r="G44" t="s">
        <v>25</v>
      </c>
      <c r="H44" t="s">
        <v>26</v>
      </c>
      <c r="I44" t="s">
        <v>35</v>
      </c>
      <c r="J44" t="s">
        <v>37</v>
      </c>
      <c r="K44" t="s">
        <v>37</v>
      </c>
      <c r="L44" t="s">
        <v>37</v>
      </c>
      <c r="M44" t="s">
        <v>25</v>
      </c>
      <c r="N44" t="s">
        <v>38</v>
      </c>
      <c r="O44" t="s">
        <v>25</v>
      </c>
      <c r="P44" t="s">
        <v>32</v>
      </c>
      <c r="Q44" t="s">
        <v>25</v>
      </c>
      <c r="R44" t="s">
        <v>33</v>
      </c>
      <c r="S44">
        <v>76.709999999999994</v>
      </c>
      <c r="T44">
        <v>7882.75</v>
      </c>
      <c r="U44">
        <v>45288</v>
      </c>
      <c r="V44" t="s">
        <v>25</v>
      </c>
      <c r="W44" t="s">
        <v>30</v>
      </c>
    </row>
    <row r="45" spans="1:23" x14ac:dyDescent="0.35">
      <c r="A45">
        <v>2731</v>
      </c>
      <c r="B45" t="s">
        <v>34</v>
      </c>
      <c r="C45">
        <v>1</v>
      </c>
      <c r="D45" t="s">
        <v>38</v>
      </c>
      <c r="E45" t="s">
        <v>25</v>
      </c>
      <c r="F45">
        <v>5</v>
      </c>
      <c r="G45" t="s">
        <v>26</v>
      </c>
      <c r="H45" t="s">
        <v>26</v>
      </c>
      <c r="I45" t="s">
        <v>35</v>
      </c>
      <c r="J45" t="s">
        <v>37</v>
      </c>
      <c r="K45" t="s">
        <v>26</v>
      </c>
      <c r="L45" t="s">
        <v>25</v>
      </c>
      <c r="M45" t="s">
        <v>26</v>
      </c>
      <c r="N45" t="s">
        <v>37</v>
      </c>
      <c r="O45" t="s">
        <v>37</v>
      </c>
      <c r="P45" t="s">
        <v>45</v>
      </c>
      <c r="Q45" t="s">
        <v>36</v>
      </c>
      <c r="R45" t="s">
        <v>44</v>
      </c>
      <c r="S45">
        <v>80.180000000000007</v>
      </c>
      <c r="T45">
        <v>2801.27</v>
      </c>
      <c r="U45">
        <v>44980</v>
      </c>
      <c r="V45" t="s">
        <v>26</v>
      </c>
      <c r="W45" t="s">
        <v>30</v>
      </c>
    </row>
    <row r="46" spans="1:23" x14ac:dyDescent="0.35">
      <c r="A46">
        <v>6136</v>
      </c>
      <c r="B46" t="s">
        <v>34</v>
      </c>
      <c r="C46">
        <v>0</v>
      </c>
      <c r="D46" t="s">
        <v>26</v>
      </c>
      <c r="E46" t="s">
        <v>26</v>
      </c>
      <c r="F46">
        <v>12</v>
      </c>
      <c r="G46" t="s">
        <v>26</v>
      </c>
      <c r="H46" t="s">
        <v>26</v>
      </c>
      <c r="I46" t="s">
        <v>27</v>
      </c>
      <c r="J46" t="s">
        <v>26</v>
      </c>
      <c r="K46" t="s">
        <v>26</v>
      </c>
      <c r="L46" t="s">
        <v>25</v>
      </c>
      <c r="M46" t="s">
        <v>37</v>
      </c>
      <c r="N46" t="s">
        <v>26</v>
      </c>
      <c r="O46" t="s">
        <v>37</v>
      </c>
      <c r="P46" t="s">
        <v>32</v>
      </c>
      <c r="Q46" t="s">
        <v>36</v>
      </c>
      <c r="R46" t="s">
        <v>49</v>
      </c>
      <c r="S46">
        <v>91.28</v>
      </c>
      <c r="T46">
        <v>829.16</v>
      </c>
      <c r="U46">
        <v>44341</v>
      </c>
      <c r="V46" t="s">
        <v>25</v>
      </c>
      <c r="W46" t="s">
        <v>30</v>
      </c>
    </row>
    <row r="47" spans="1:23" x14ac:dyDescent="0.35">
      <c r="A47">
        <v>19757</v>
      </c>
      <c r="B47" t="s">
        <v>34</v>
      </c>
      <c r="C47">
        <v>0</v>
      </c>
      <c r="D47" t="s">
        <v>38</v>
      </c>
      <c r="E47" t="s">
        <v>26</v>
      </c>
      <c r="F47">
        <v>23</v>
      </c>
      <c r="G47" t="s">
        <v>26</v>
      </c>
      <c r="H47" t="s">
        <v>26</v>
      </c>
      <c r="I47" t="s">
        <v>27</v>
      </c>
      <c r="J47" t="s">
        <v>37</v>
      </c>
      <c r="K47" t="s">
        <v>25</v>
      </c>
      <c r="L47" t="s">
        <v>25</v>
      </c>
      <c r="M47" t="s">
        <v>25</v>
      </c>
      <c r="N47" t="s">
        <v>25</v>
      </c>
      <c r="O47" t="s">
        <v>26</v>
      </c>
      <c r="P47" t="s">
        <v>41</v>
      </c>
      <c r="Q47" t="s">
        <v>25</v>
      </c>
      <c r="R47" t="s">
        <v>43</v>
      </c>
      <c r="S47">
        <v>43.66</v>
      </c>
      <c r="T47">
        <v>7801.95</v>
      </c>
      <c r="U47">
        <v>44982</v>
      </c>
      <c r="V47" t="s">
        <v>25</v>
      </c>
      <c r="W47" t="s">
        <v>30</v>
      </c>
    </row>
    <row r="48" spans="1:23" x14ac:dyDescent="0.35">
      <c r="A48">
        <v>15575</v>
      </c>
      <c r="B48" t="s">
        <v>34</v>
      </c>
      <c r="C48">
        <v>0</v>
      </c>
      <c r="D48" t="s">
        <v>25</v>
      </c>
      <c r="E48" t="s">
        <v>25</v>
      </c>
      <c r="F48">
        <v>54</v>
      </c>
      <c r="G48" t="s">
        <v>26</v>
      </c>
      <c r="H48" t="s">
        <v>26</v>
      </c>
      <c r="I48" t="s">
        <v>27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26</v>
      </c>
      <c r="P48" t="s">
        <v>32</v>
      </c>
      <c r="Q48" t="s">
        <v>25</v>
      </c>
      <c r="R48" t="s">
        <v>29</v>
      </c>
      <c r="S48">
        <v>87.32</v>
      </c>
      <c r="T48">
        <v>5748.82</v>
      </c>
      <c r="U48">
        <v>45043</v>
      </c>
      <c r="V48" t="s">
        <v>25</v>
      </c>
      <c r="W48" t="s">
        <v>30</v>
      </c>
    </row>
    <row r="49" spans="1:23" x14ac:dyDescent="0.35">
      <c r="A49">
        <v>15958</v>
      </c>
      <c r="B49" t="s">
        <v>51</v>
      </c>
      <c r="C49">
        <v>0</v>
      </c>
      <c r="D49" t="s">
        <v>38</v>
      </c>
      <c r="E49" t="s">
        <v>26</v>
      </c>
      <c r="F49">
        <v>0</v>
      </c>
      <c r="G49" t="s">
        <v>26</v>
      </c>
      <c r="H49" t="s">
        <v>26</v>
      </c>
      <c r="I49" t="s">
        <v>35</v>
      </c>
      <c r="J49" t="s">
        <v>25</v>
      </c>
      <c r="K49" t="s">
        <v>26</v>
      </c>
      <c r="L49" t="s">
        <v>26</v>
      </c>
      <c r="M49" t="s">
        <v>25</v>
      </c>
      <c r="N49" t="s">
        <v>36</v>
      </c>
      <c r="O49" t="s">
        <v>26</v>
      </c>
      <c r="P49" t="s">
        <v>32</v>
      </c>
      <c r="Q49" t="s">
        <v>26</v>
      </c>
      <c r="R49" t="s">
        <v>33</v>
      </c>
      <c r="T49">
        <v>7668.63</v>
      </c>
      <c r="U49">
        <v>44593</v>
      </c>
      <c r="V49" t="s">
        <v>25</v>
      </c>
      <c r="W49" t="s">
        <v>30</v>
      </c>
    </row>
    <row r="50" spans="1:23" x14ac:dyDescent="0.35">
      <c r="A50">
        <v>14239</v>
      </c>
      <c r="B50" t="s">
        <v>1</v>
      </c>
      <c r="C50">
        <v>0</v>
      </c>
      <c r="D50" t="s">
        <v>25</v>
      </c>
      <c r="E50" t="s">
        <v>26</v>
      </c>
      <c r="F50">
        <v>60</v>
      </c>
      <c r="G50" t="s">
        <v>26</v>
      </c>
      <c r="H50" t="s">
        <v>25</v>
      </c>
      <c r="I50" t="s">
        <v>25</v>
      </c>
      <c r="J50" t="s">
        <v>36</v>
      </c>
      <c r="K50" t="s">
        <v>38</v>
      </c>
      <c r="L50" t="s">
        <v>26</v>
      </c>
      <c r="M50" t="s">
        <v>37</v>
      </c>
      <c r="N50" t="s">
        <v>25</v>
      </c>
      <c r="O50" t="s">
        <v>37</v>
      </c>
      <c r="P50" t="s">
        <v>32</v>
      </c>
      <c r="Q50" t="s">
        <v>26</v>
      </c>
      <c r="R50" t="s">
        <v>49</v>
      </c>
      <c r="S50">
        <v>97.76</v>
      </c>
      <c r="T50">
        <v>2959.62</v>
      </c>
      <c r="U50">
        <v>45375</v>
      </c>
      <c r="V50" t="s">
        <v>25</v>
      </c>
      <c r="W50" t="s">
        <v>30</v>
      </c>
    </row>
    <row r="51" spans="1:23" x14ac:dyDescent="0.35">
      <c r="A51">
        <v>9583</v>
      </c>
      <c r="B51" t="s">
        <v>46</v>
      </c>
      <c r="C51" t="s">
        <v>25</v>
      </c>
      <c r="D51" t="s">
        <v>26</v>
      </c>
      <c r="E51" t="s">
        <v>25</v>
      </c>
      <c r="F51">
        <v>33</v>
      </c>
      <c r="G51" t="s">
        <v>25</v>
      </c>
      <c r="H51" t="s">
        <v>25</v>
      </c>
      <c r="I51" t="s">
        <v>35</v>
      </c>
      <c r="J51" t="s">
        <v>26</v>
      </c>
      <c r="K51" t="s">
        <v>25</v>
      </c>
      <c r="L51" t="s">
        <v>25</v>
      </c>
      <c r="M51" t="s">
        <v>38</v>
      </c>
      <c r="N51" t="s">
        <v>26</v>
      </c>
      <c r="O51" t="s">
        <v>25</v>
      </c>
      <c r="P51" t="s">
        <v>42</v>
      </c>
      <c r="Q51" t="s">
        <v>26</v>
      </c>
      <c r="R51" t="s">
        <v>33</v>
      </c>
      <c r="S51">
        <v>85.07</v>
      </c>
      <c r="U51">
        <v>44704</v>
      </c>
      <c r="V51" t="s">
        <v>25</v>
      </c>
      <c r="W51" t="s">
        <v>30</v>
      </c>
    </row>
    <row r="52" spans="1:23" x14ac:dyDescent="0.35">
      <c r="A52">
        <v>18482</v>
      </c>
      <c r="B52" t="s">
        <v>46</v>
      </c>
      <c r="C52">
        <v>1</v>
      </c>
      <c r="D52" t="s">
        <v>25</v>
      </c>
      <c r="E52" t="s">
        <v>26</v>
      </c>
      <c r="F52">
        <v>52</v>
      </c>
      <c r="G52" t="s">
        <v>26</v>
      </c>
      <c r="H52" t="s">
        <v>47</v>
      </c>
      <c r="I52" t="s">
        <v>25</v>
      </c>
      <c r="J52" t="s">
        <v>25</v>
      </c>
      <c r="K52" t="s">
        <v>26</v>
      </c>
      <c r="L52" t="s">
        <v>26</v>
      </c>
      <c r="M52" t="s">
        <v>37</v>
      </c>
      <c r="N52" t="s">
        <v>37</v>
      </c>
      <c r="O52" t="s">
        <v>37</v>
      </c>
      <c r="P52" t="s">
        <v>32</v>
      </c>
      <c r="Q52" t="s">
        <v>36</v>
      </c>
      <c r="R52" t="s">
        <v>29</v>
      </c>
      <c r="S52">
        <v>73.400000000000006</v>
      </c>
      <c r="T52">
        <v>3341.2</v>
      </c>
      <c r="U52">
        <v>44656</v>
      </c>
      <c r="V52" t="s">
        <v>25</v>
      </c>
      <c r="W52" t="s">
        <v>30</v>
      </c>
    </row>
    <row r="53" spans="1:23" x14ac:dyDescent="0.35">
      <c r="A53">
        <v>9342</v>
      </c>
      <c r="B53" t="s">
        <v>31</v>
      </c>
      <c r="C53">
        <v>0</v>
      </c>
      <c r="D53" t="s">
        <v>25</v>
      </c>
      <c r="E53" t="s">
        <v>26</v>
      </c>
      <c r="F53">
        <v>71</v>
      </c>
      <c r="G53" t="s">
        <v>26</v>
      </c>
      <c r="H53" t="s">
        <v>25</v>
      </c>
      <c r="I53" t="s">
        <v>27</v>
      </c>
      <c r="J53" t="s">
        <v>36</v>
      </c>
      <c r="K53" t="s">
        <v>25</v>
      </c>
      <c r="L53" t="s">
        <v>26</v>
      </c>
      <c r="M53" t="s">
        <v>26</v>
      </c>
      <c r="N53" t="s">
        <v>25</v>
      </c>
      <c r="O53" t="s">
        <v>26</v>
      </c>
      <c r="P53" t="s">
        <v>32</v>
      </c>
      <c r="Q53" t="s">
        <v>36</v>
      </c>
      <c r="R53" t="s">
        <v>49</v>
      </c>
      <c r="S53">
        <v>22.42</v>
      </c>
      <c r="T53">
        <v>7851.33</v>
      </c>
      <c r="U53">
        <v>43915</v>
      </c>
      <c r="V53" t="s">
        <v>25</v>
      </c>
      <c r="W53" t="s">
        <v>30</v>
      </c>
    </row>
    <row r="54" spans="1:23" x14ac:dyDescent="0.35">
      <c r="A54">
        <v>3753</v>
      </c>
      <c r="B54" t="s">
        <v>34</v>
      </c>
      <c r="C54">
        <v>1</v>
      </c>
      <c r="D54" t="s">
        <v>25</v>
      </c>
      <c r="E54" t="s">
        <v>26</v>
      </c>
      <c r="F54">
        <v>40</v>
      </c>
      <c r="G54" t="s">
        <v>26</v>
      </c>
      <c r="H54" t="s">
        <v>47</v>
      </c>
      <c r="I54" t="s">
        <v>27</v>
      </c>
      <c r="J54" t="s">
        <v>37</v>
      </c>
      <c r="K54" t="s">
        <v>37</v>
      </c>
      <c r="L54" t="s">
        <v>38</v>
      </c>
      <c r="M54" t="s">
        <v>25</v>
      </c>
      <c r="N54" t="s">
        <v>25</v>
      </c>
      <c r="O54" t="s">
        <v>36</v>
      </c>
      <c r="P54" t="s">
        <v>32</v>
      </c>
      <c r="Q54" t="s">
        <v>25</v>
      </c>
      <c r="R54" t="s">
        <v>39</v>
      </c>
      <c r="S54">
        <v>75.91</v>
      </c>
      <c r="T54">
        <v>3156.69</v>
      </c>
      <c r="U54">
        <v>44756</v>
      </c>
      <c r="V54" t="s">
        <v>25</v>
      </c>
      <c r="W54" t="s">
        <v>30</v>
      </c>
    </row>
    <row r="55" spans="1:23" x14ac:dyDescent="0.35">
      <c r="A55">
        <v>12465</v>
      </c>
      <c r="B55" t="s">
        <v>31</v>
      </c>
      <c r="C55">
        <v>1</v>
      </c>
      <c r="D55" t="s">
        <v>25</v>
      </c>
      <c r="E55" t="s">
        <v>26</v>
      </c>
      <c r="F55">
        <v>30</v>
      </c>
      <c r="G55" t="s">
        <v>25</v>
      </c>
      <c r="H55" t="s">
        <v>25</v>
      </c>
      <c r="I55" t="s">
        <v>35</v>
      </c>
      <c r="J55" t="s">
        <v>37</v>
      </c>
      <c r="K55" t="s">
        <v>37</v>
      </c>
      <c r="L55" t="s">
        <v>25</v>
      </c>
      <c r="M55" t="s">
        <v>36</v>
      </c>
      <c r="N55" t="s">
        <v>26</v>
      </c>
      <c r="O55" t="s">
        <v>37</v>
      </c>
      <c r="P55" t="s">
        <v>28</v>
      </c>
      <c r="Q55" t="s">
        <v>25</v>
      </c>
      <c r="R55" t="s">
        <v>43</v>
      </c>
      <c r="S55">
        <v>97.8</v>
      </c>
      <c r="T55">
        <v>6582.33</v>
      </c>
      <c r="U55">
        <v>44351</v>
      </c>
      <c r="V55" t="s">
        <v>25</v>
      </c>
      <c r="W55" t="s">
        <v>30</v>
      </c>
    </row>
    <row r="56" spans="1:23" x14ac:dyDescent="0.35">
      <c r="A56">
        <v>15680</v>
      </c>
      <c r="B56" t="s">
        <v>46</v>
      </c>
      <c r="C56">
        <v>0</v>
      </c>
      <c r="D56" t="s">
        <v>25</v>
      </c>
      <c r="E56" t="s">
        <v>25</v>
      </c>
      <c r="F56">
        <v>12</v>
      </c>
      <c r="G56" t="s">
        <v>26</v>
      </c>
      <c r="H56" t="s">
        <v>25</v>
      </c>
      <c r="I56" t="s">
        <v>35</v>
      </c>
      <c r="J56" t="s">
        <v>37</v>
      </c>
      <c r="K56" t="s">
        <v>36</v>
      </c>
      <c r="L56" t="s">
        <v>37</v>
      </c>
      <c r="M56" t="s">
        <v>25</v>
      </c>
      <c r="N56" t="s">
        <v>26</v>
      </c>
      <c r="O56" t="s">
        <v>37</v>
      </c>
      <c r="P56" t="s">
        <v>32</v>
      </c>
      <c r="Q56" t="s">
        <v>26</v>
      </c>
      <c r="R56" t="s">
        <v>49</v>
      </c>
      <c r="T56">
        <v>6405.4</v>
      </c>
      <c r="U56">
        <v>44634</v>
      </c>
      <c r="V56" t="s">
        <v>25</v>
      </c>
      <c r="W56" t="s">
        <v>30</v>
      </c>
    </row>
    <row r="57" spans="1:23" x14ac:dyDescent="0.35">
      <c r="A57">
        <v>3806</v>
      </c>
      <c r="B57" t="s">
        <v>1</v>
      </c>
      <c r="C57">
        <v>0</v>
      </c>
      <c r="D57" t="s">
        <v>25</v>
      </c>
      <c r="E57" t="s">
        <v>36</v>
      </c>
      <c r="F57">
        <v>60</v>
      </c>
      <c r="G57" t="s">
        <v>25</v>
      </c>
      <c r="H57" t="s">
        <v>25</v>
      </c>
      <c r="I57" t="s">
        <v>35</v>
      </c>
      <c r="J57" t="s">
        <v>26</v>
      </c>
      <c r="K57" t="s">
        <v>25</v>
      </c>
      <c r="L57" t="s">
        <v>26</v>
      </c>
      <c r="M57" t="s">
        <v>26</v>
      </c>
      <c r="N57" t="s">
        <v>25</v>
      </c>
      <c r="O57" t="s">
        <v>26</v>
      </c>
      <c r="P57" t="s">
        <v>48</v>
      </c>
      <c r="Q57" t="s">
        <v>26</v>
      </c>
      <c r="R57" t="s">
        <v>44</v>
      </c>
      <c r="S57">
        <v>100.46</v>
      </c>
      <c r="T57">
        <v>7242.32</v>
      </c>
      <c r="U57">
        <v>44751</v>
      </c>
      <c r="V57" t="s">
        <v>25</v>
      </c>
      <c r="W57" t="s">
        <v>30</v>
      </c>
    </row>
    <row r="58" spans="1:23" x14ac:dyDescent="0.35">
      <c r="A58">
        <v>13137</v>
      </c>
      <c r="B58" t="s">
        <v>31</v>
      </c>
      <c r="C58">
        <v>0</v>
      </c>
      <c r="D58" t="s">
        <v>25</v>
      </c>
      <c r="E58" t="s">
        <v>25</v>
      </c>
      <c r="F58">
        <v>22</v>
      </c>
      <c r="G58" t="s">
        <v>26</v>
      </c>
      <c r="H58" t="s">
        <v>26</v>
      </c>
      <c r="I58" t="s">
        <v>27</v>
      </c>
      <c r="J58" t="s">
        <v>26</v>
      </c>
      <c r="K58" t="s">
        <v>37</v>
      </c>
      <c r="L58" t="s">
        <v>26</v>
      </c>
      <c r="M58" t="s">
        <v>25</v>
      </c>
      <c r="N58" t="s">
        <v>25</v>
      </c>
      <c r="O58" t="s">
        <v>25</v>
      </c>
      <c r="P58" t="s">
        <v>42</v>
      </c>
      <c r="Q58" t="s">
        <v>26</v>
      </c>
      <c r="R58" t="s">
        <v>29</v>
      </c>
      <c r="S58">
        <v>49.27</v>
      </c>
      <c r="T58">
        <v>3155.27</v>
      </c>
      <c r="U58">
        <v>45344</v>
      </c>
      <c r="V58" t="s">
        <v>25</v>
      </c>
      <c r="W58" t="s">
        <v>30</v>
      </c>
    </row>
    <row r="59" spans="1:23" x14ac:dyDescent="0.35">
      <c r="A59">
        <v>17623</v>
      </c>
      <c r="B59" t="s">
        <v>31</v>
      </c>
      <c r="C59">
        <v>0</v>
      </c>
      <c r="D59" t="s">
        <v>26</v>
      </c>
      <c r="E59" t="s">
        <v>25</v>
      </c>
      <c r="F59">
        <v>1</v>
      </c>
      <c r="G59" t="s">
        <v>26</v>
      </c>
      <c r="H59" t="s">
        <v>47</v>
      </c>
      <c r="I59" t="s">
        <v>25</v>
      </c>
      <c r="J59" t="s">
        <v>26</v>
      </c>
      <c r="K59" t="s">
        <v>26</v>
      </c>
      <c r="L59" t="s">
        <v>26</v>
      </c>
      <c r="M59" t="s">
        <v>25</v>
      </c>
      <c r="N59" t="s">
        <v>25</v>
      </c>
      <c r="O59" t="s">
        <v>26</v>
      </c>
      <c r="P59" t="s">
        <v>32</v>
      </c>
      <c r="Q59" t="s">
        <v>26</v>
      </c>
      <c r="R59" t="s">
        <v>29</v>
      </c>
      <c r="S59">
        <v>97.65</v>
      </c>
      <c r="T59">
        <v>6794.03</v>
      </c>
      <c r="U59">
        <v>44213</v>
      </c>
      <c r="V59" t="s">
        <v>26</v>
      </c>
      <c r="W59" t="s">
        <v>50</v>
      </c>
    </row>
    <row r="60" spans="1:23" x14ac:dyDescent="0.35">
      <c r="A60">
        <v>12496</v>
      </c>
      <c r="B60" t="s">
        <v>31</v>
      </c>
      <c r="C60">
        <v>1</v>
      </c>
      <c r="D60" t="s">
        <v>25</v>
      </c>
      <c r="E60" t="s">
        <v>38</v>
      </c>
      <c r="F60">
        <v>19</v>
      </c>
      <c r="G60" t="s">
        <v>26</v>
      </c>
      <c r="H60" t="s">
        <v>26</v>
      </c>
      <c r="I60" t="s">
        <v>40</v>
      </c>
      <c r="J60" t="s">
        <v>26</v>
      </c>
      <c r="K60" t="s">
        <v>26</v>
      </c>
      <c r="L60" t="s">
        <v>25</v>
      </c>
      <c r="M60" t="s">
        <v>26</v>
      </c>
      <c r="N60" t="s">
        <v>37</v>
      </c>
      <c r="O60" t="s">
        <v>36</v>
      </c>
      <c r="P60" t="s">
        <v>28</v>
      </c>
      <c r="Q60" t="s">
        <v>26</v>
      </c>
      <c r="R60" t="s">
        <v>49</v>
      </c>
      <c r="S60">
        <v>52.41</v>
      </c>
      <c r="T60">
        <v>1724</v>
      </c>
      <c r="U60">
        <v>45187</v>
      </c>
      <c r="V60" t="s">
        <v>25</v>
      </c>
      <c r="W60" t="s">
        <v>30</v>
      </c>
    </row>
    <row r="61" spans="1:23" x14ac:dyDescent="0.35">
      <c r="A61">
        <v>12947</v>
      </c>
      <c r="B61" t="s">
        <v>34</v>
      </c>
      <c r="C61">
        <v>0</v>
      </c>
      <c r="D61" t="s">
        <v>26</v>
      </c>
      <c r="E61" t="s">
        <v>25</v>
      </c>
      <c r="F61">
        <v>34</v>
      </c>
      <c r="G61" t="s">
        <v>25</v>
      </c>
      <c r="H61" t="s">
        <v>25</v>
      </c>
      <c r="I61" t="s">
        <v>35</v>
      </c>
      <c r="J61" t="s">
        <v>26</v>
      </c>
      <c r="K61" t="s">
        <v>26</v>
      </c>
      <c r="L61" t="s">
        <v>37</v>
      </c>
      <c r="M61" t="s">
        <v>25</v>
      </c>
      <c r="N61" t="s">
        <v>37</v>
      </c>
      <c r="O61" t="s">
        <v>36</v>
      </c>
      <c r="P61" t="s">
        <v>32</v>
      </c>
      <c r="Q61" t="s">
        <v>25</v>
      </c>
      <c r="R61" t="s">
        <v>44</v>
      </c>
      <c r="S61">
        <v>65.27</v>
      </c>
      <c r="T61">
        <v>1310.23</v>
      </c>
      <c r="U61">
        <v>45066</v>
      </c>
      <c r="V61" t="s">
        <v>25</v>
      </c>
      <c r="W61" t="s">
        <v>30</v>
      </c>
    </row>
    <row r="62" spans="1:23" x14ac:dyDescent="0.35">
      <c r="A62">
        <v>14442</v>
      </c>
      <c r="B62" t="s">
        <v>31</v>
      </c>
      <c r="C62">
        <v>0</v>
      </c>
      <c r="D62" t="s">
        <v>25</v>
      </c>
      <c r="E62" t="s">
        <v>26</v>
      </c>
      <c r="F62">
        <v>15</v>
      </c>
      <c r="G62" t="s">
        <v>26</v>
      </c>
      <c r="H62" t="s">
        <v>47</v>
      </c>
      <c r="I62" t="s">
        <v>35</v>
      </c>
      <c r="J62" t="s">
        <v>37</v>
      </c>
      <c r="K62" t="s">
        <v>25</v>
      </c>
      <c r="L62" t="s">
        <v>25</v>
      </c>
      <c r="M62" t="s">
        <v>25</v>
      </c>
      <c r="N62" t="s">
        <v>26</v>
      </c>
      <c r="O62" t="s">
        <v>25</v>
      </c>
      <c r="P62" t="s">
        <v>32</v>
      </c>
      <c r="Q62" t="s">
        <v>26</v>
      </c>
      <c r="R62" t="s">
        <v>29</v>
      </c>
      <c r="S62">
        <v>20.09</v>
      </c>
      <c r="T62">
        <v>4118</v>
      </c>
      <c r="U62">
        <v>45369</v>
      </c>
      <c r="V62" t="s">
        <v>25</v>
      </c>
      <c r="W62" t="s">
        <v>30</v>
      </c>
    </row>
    <row r="63" spans="1:23" x14ac:dyDescent="0.35">
      <c r="A63">
        <v>9020</v>
      </c>
      <c r="B63" t="s">
        <v>46</v>
      </c>
      <c r="C63">
        <v>0</v>
      </c>
      <c r="D63" t="s">
        <v>26</v>
      </c>
      <c r="E63" t="s">
        <v>26</v>
      </c>
      <c r="F63">
        <v>5</v>
      </c>
      <c r="G63" t="s">
        <v>26</v>
      </c>
      <c r="H63" t="s">
        <v>26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26</v>
      </c>
      <c r="O63" t="s">
        <v>25</v>
      </c>
      <c r="P63" t="s">
        <v>28</v>
      </c>
      <c r="Q63" t="s">
        <v>25</v>
      </c>
      <c r="R63" t="s">
        <v>44</v>
      </c>
      <c r="S63">
        <v>717.35772229112604</v>
      </c>
      <c r="T63">
        <v>969.63</v>
      </c>
      <c r="U63">
        <v>44307</v>
      </c>
      <c r="V63" t="s">
        <v>25</v>
      </c>
      <c r="W63" t="s">
        <v>30</v>
      </c>
    </row>
    <row r="64" spans="1:23" x14ac:dyDescent="0.35">
      <c r="A64">
        <v>6377</v>
      </c>
      <c r="B64" t="s">
        <v>31</v>
      </c>
      <c r="C64">
        <v>1</v>
      </c>
      <c r="D64" t="s">
        <v>25</v>
      </c>
      <c r="E64" t="s">
        <v>26</v>
      </c>
      <c r="F64">
        <v>11</v>
      </c>
      <c r="G64" t="s">
        <v>26</v>
      </c>
      <c r="H64" t="s">
        <v>25</v>
      </c>
      <c r="I64" t="s">
        <v>27</v>
      </c>
      <c r="J64" t="s">
        <v>25</v>
      </c>
      <c r="K64" t="s">
        <v>26</v>
      </c>
      <c r="L64" t="s">
        <v>25</v>
      </c>
      <c r="M64" t="s">
        <v>37</v>
      </c>
      <c r="N64" t="s">
        <v>26</v>
      </c>
      <c r="O64" t="s">
        <v>37</v>
      </c>
      <c r="P64" t="s">
        <v>32</v>
      </c>
      <c r="Q64" t="s">
        <v>26</v>
      </c>
      <c r="R64" t="s">
        <v>29</v>
      </c>
      <c r="S64">
        <v>86.47</v>
      </c>
      <c r="T64">
        <v>2775.68</v>
      </c>
      <c r="U64">
        <v>44045</v>
      </c>
      <c r="V64" t="s">
        <v>25</v>
      </c>
      <c r="W64" t="s">
        <v>30</v>
      </c>
    </row>
    <row r="65" spans="1:23" x14ac:dyDescent="0.35">
      <c r="A65">
        <v>10261</v>
      </c>
      <c r="B65" t="s">
        <v>31</v>
      </c>
      <c r="C65" t="s">
        <v>25</v>
      </c>
      <c r="D65" t="s">
        <v>25</v>
      </c>
      <c r="E65" t="s">
        <v>25</v>
      </c>
      <c r="F65">
        <v>37</v>
      </c>
      <c r="G65" t="s">
        <v>26</v>
      </c>
      <c r="H65" t="s">
        <v>25</v>
      </c>
      <c r="I65" t="s">
        <v>35</v>
      </c>
      <c r="J65" t="s">
        <v>26</v>
      </c>
      <c r="K65" t="s">
        <v>36</v>
      </c>
      <c r="L65" t="s">
        <v>26</v>
      </c>
      <c r="M65" t="s">
        <v>26</v>
      </c>
      <c r="N65" t="s">
        <v>25</v>
      </c>
      <c r="O65" t="s">
        <v>37</v>
      </c>
      <c r="P65" t="s">
        <v>45</v>
      </c>
      <c r="Q65" t="s">
        <v>25</v>
      </c>
      <c r="R65" t="s">
        <v>29</v>
      </c>
      <c r="S65">
        <v>82.1</v>
      </c>
      <c r="T65">
        <v>2484.52</v>
      </c>
      <c r="U65">
        <v>44021</v>
      </c>
      <c r="V65" t="s">
        <v>25</v>
      </c>
      <c r="W65" t="s">
        <v>30</v>
      </c>
    </row>
    <row r="66" spans="1:23" x14ac:dyDescent="0.35">
      <c r="A66">
        <v>12563</v>
      </c>
      <c r="B66" t="s">
        <v>46</v>
      </c>
      <c r="C66">
        <v>0</v>
      </c>
      <c r="D66" t="s">
        <v>25</v>
      </c>
      <c r="E66" t="s">
        <v>36</v>
      </c>
      <c r="F66">
        <v>59</v>
      </c>
      <c r="G66" t="s">
        <v>26</v>
      </c>
      <c r="H66" t="s">
        <v>38</v>
      </c>
      <c r="I66" t="s">
        <v>40</v>
      </c>
      <c r="J66" t="s">
        <v>37</v>
      </c>
      <c r="K66" t="s">
        <v>26</v>
      </c>
      <c r="L66" t="s">
        <v>25</v>
      </c>
      <c r="M66" t="s">
        <v>25</v>
      </c>
      <c r="N66" t="s">
        <v>26</v>
      </c>
      <c r="O66" t="s">
        <v>26</v>
      </c>
      <c r="P66" t="s">
        <v>28</v>
      </c>
      <c r="Q66" t="s">
        <v>25</v>
      </c>
      <c r="R66" t="s">
        <v>33</v>
      </c>
      <c r="S66">
        <v>41.83</v>
      </c>
      <c r="T66">
        <v>4466.8599999999997</v>
      </c>
      <c r="U66">
        <v>43966</v>
      </c>
      <c r="V66" t="s">
        <v>26</v>
      </c>
      <c r="W66" t="s">
        <v>30</v>
      </c>
    </row>
    <row r="67" spans="1:23" x14ac:dyDescent="0.35">
      <c r="A67">
        <v>16510</v>
      </c>
      <c r="B67" t="s">
        <v>34</v>
      </c>
      <c r="C67">
        <v>0</v>
      </c>
      <c r="D67" t="s">
        <v>25</v>
      </c>
      <c r="E67" t="s">
        <v>25</v>
      </c>
      <c r="F67">
        <v>13</v>
      </c>
      <c r="G67" t="s">
        <v>25</v>
      </c>
      <c r="H67" t="s">
        <v>25</v>
      </c>
      <c r="I67" t="s">
        <v>27</v>
      </c>
      <c r="J67" t="s">
        <v>25</v>
      </c>
      <c r="K67" t="s">
        <v>37</v>
      </c>
      <c r="L67" t="s">
        <v>26</v>
      </c>
      <c r="M67" t="s">
        <v>25</v>
      </c>
      <c r="N67" t="s">
        <v>26</v>
      </c>
      <c r="O67" t="s">
        <v>37</v>
      </c>
      <c r="P67" t="s">
        <v>45</v>
      </c>
      <c r="Q67" t="s">
        <v>38</v>
      </c>
      <c r="R67" t="s">
        <v>39</v>
      </c>
      <c r="S67">
        <v>45.45</v>
      </c>
      <c r="T67">
        <v>4006.03</v>
      </c>
      <c r="U67">
        <v>43924</v>
      </c>
      <c r="V67" t="s">
        <v>25</v>
      </c>
      <c r="W67" t="s">
        <v>30</v>
      </c>
    </row>
    <row r="68" spans="1:23" x14ac:dyDescent="0.35">
      <c r="A68">
        <v>1937</v>
      </c>
      <c r="B68" t="s">
        <v>34</v>
      </c>
      <c r="C68">
        <v>0</v>
      </c>
      <c r="D68" t="s">
        <v>25</v>
      </c>
      <c r="E68" t="s">
        <v>25</v>
      </c>
      <c r="F68">
        <v>52</v>
      </c>
      <c r="G68" t="s">
        <v>26</v>
      </c>
      <c r="H68" t="s">
        <v>25</v>
      </c>
      <c r="I68" t="s">
        <v>27</v>
      </c>
      <c r="J68" t="s">
        <v>37</v>
      </c>
      <c r="K68" t="s">
        <v>37</v>
      </c>
      <c r="L68" t="s">
        <v>25</v>
      </c>
      <c r="M68" t="s">
        <v>36</v>
      </c>
      <c r="N68" t="s">
        <v>26</v>
      </c>
      <c r="O68" t="s">
        <v>37</v>
      </c>
      <c r="P68" t="s">
        <v>32</v>
      </c>
      <c r="Q68" t="s">
        <v>26</v>
      </c>
      <c r="R68" t="s">
        <v>39</v>
      </c>
      <c r="S68">
        <v>50.25</v>
      </c>
      <c r="T68">
        <v>7382.32</v>
      </c>
      <c r="U68">
        <v>43913</v>
      </c>
      <c r="V68" t="s">
        <v>25</v>
      </c>
      <c r="W68" t="s">
        <v>30</v>
      </c>
    </row>
    <row r="69" spans="1:23" x14ac:dyDescent="0.35">
      <c r="A69">
        <v>12605</v>
      </c>
      <c r="B69" t="s">
        <v>34</v>
      </c>
      <c r="C69" t="s">
        <v>25</v>
      </c>
      <c r="D69" t="s">
        <v>25</v>
      </c>
      <c r="E69" t="s">
        <v>38</v>
      </c>
      <c r="F69">
        <v>0</v>
      </c>
      <c r="G69" t="s">
        <v>25</v>
      </c>
      <c r="H69" t="s">
        <v>25</v>
      </c>
      <c r="I69" t="s">
        <v>27</v>
      </c>
      <c r="J69" t="s">
        <v>25</v>
      </c>
      <c r="K69" t="s">
        <v>26</v>
      </c>
      <c r="L69" t="s">
        <v>25</v>
      </c>
      <c r="M69" t="s">
        <v>36</v>
      </c>
      <c r="N69" t="s">
        <v>26</v>
      </c>
      <c r="O69" t="s">
        <v>26</v>
      </c>
      <c r="P69" t="s">
        <v>32</v>
      </c>
      <c r="Q69" t="s">
        <v>25</v>
      </c>
      <c r="R69" t="s">
        <v>33</v>
      </c>
      <c r="S69">
        <v>60.8</v>
      </c>
      <c r="T69">
        <v>301.86</v>
      </c>
      <c r="U69">
        <v>45235</v>
      </c>
      <c r="V69" t="s">
        <v>25</v>
      </c>
      <c r="W69" t="s">
        <v>30</v>
      </c>
    </row>
    <row r="70" spans="1:23" x14ac:dyDescent="0.35">
      <c r="A70">
        <v>8661</v>
      </c>
      <c r="B70" t="s">
        <v>34</v>
      </c>
      <c r="C70">
        <v>0</v>
      </c>
      <c r="D70" t="s">
        <v>26</v>
      </c>
      <c r="E70" t="s">
        <v>36</v>
      </c>
      <c r="F70">
        <v>49</v>
      </c>
      <c r="G70" t="s">
        <v>26</v>
      </c>
      <c r="H70" t="s">
        <v>25</v>
      </c>
      <c r="I70" t="s">
        <v>35</v>
      </c>
      <c r="J70" t="s">
        <v>37</v>
      </c>
      <c r="K70" t="s">
        <v>37</v>
      </c>
      <c r="L70" t="s">
        <v>25</v>
      </c>
      <c r="M70" t="s">
        <v>26</v>
      </c>
      <c r="N70" t="s">
        <v>25</v>
      </c>
      <c r="O70" t="s">
        <v>25</v>
      </c>
      <c r="P70" t="s">
        <v>32</v>
      </c>
      <c r="Q70" t="s">
        <v>36</v>
      </c>
      <c r="R70" t="s">
        <v>49</v>
      </c>
      <c r="S70">
        <v>68.349999999999994</v>
      </c>
      <c r="T70">
        <v>420.79</v>
      </c>
      <c r="U70">
        <v>45339</v>
      </c>
      <c r="V70" t="s">
        <v>25</v>
      </c>
      <c r="W70" t="s">
        <v>30</v>
      </c>
    </row>
    <row r="71" spans="1:23" x14ac:dyDescent="0.35">
      <c r="A71">
        <v>10154</v>
      </c>
      <c r="B71" t="s">
        <v>31</v>
      </c>
      <c r="C71">
        <v>0</v>
      </c>
      <c r="D71" t="s">
        <v>26</v>
      </c>
      <c r="E71" t="s">
        <v>38</v>
      </c>
      <c r="F71">
        <v>36</v>
      </c>
      <c r="G71" t="s">
        <v>26</v>
      </c>
      <c r="H71" t="s">
        <v>25</v>
      </c>
      <c r="I71" t="s">
        <v>27</v>
      </c>
      <c r="J71" t="s">
        <v>25</v>
      </c>
      <c r="K71" t="s">
        <v>37</v>
      </c>
      <c r="L71" t="s">
        <v>25</v>
      </c>
      <c r="M71" t="s">
        <v>37</v>
      </c>
      <c r="N71" t="s">
        <v>36</v>
      </c>
      <c r="O71" t="s">
        <v>25</v>
      </c>
      <c r="P71" t="s">
        <v>28</v>
      </c>
      <c r="Q71" t="s">
        <v>26</v>
      </c>
      <c r="R71" t="s">
        <v>39</v>
      </c>
      <c r="S71">
        <v>86.84</v>
      </c>
      <c r="T71">
        <v>1648.04</v>
      </c>
      <c r="U71">
        <v>45292</v>
      </c>
      <c r="V71" t="s">
        <v>25</v>
      </c>
      <c r="W71" t="s">
        <v>30</v>
      </c>
    </row>
    <row r="72" spans="1:23" x14ac:dyDescent="0.35">
      <c r="A72">
        <v>17950</v>
      </c>
      <c r="B72" t="s">
        <v>34</v>
      </c>
      <c r="C72">
        <v>0</v>
      </c>
      <c r="D72" t="s">
        <v>25</v>
      </c>
      <c r="E72" t="s">
        <v>25</v>
      </c>
      <c r="F72">
        <v>48</v>
      </c>
      <c r="G72" t="s">
        <v>25</v>
      </c>
      <c r="H72" t="s">
        <v>26</v>
      </c>
      <c r="I72" t="s">
        <v>25</v>
      </c>
      <c r="J72" t="s">
        <v>25</v>
      </c>
      <c r="K72" t="s">
        <v>25</v>
      </c>
      <c r="L72" t="s">
        <v>37</v>
      </c>
      <c r="M72" t="s">
        <v>38</v>
      </c>
      <c r="N72" t="s">
        <v>26</v>
      </c>
      <c r="O72" t="s">
        <v>26</v>
      </c>
      <c r="P72" t="s">
        <v>41</v>
      </c>
      <c r="Q72" t="s">
        <v>26</v>
      </c>
      <c r="R72" t="s">
        <v>33</v>
      </c>
      <c r="T72">
        <v>376.64</v>
      </c>
      <c r="U72">
        <v>44222</v>
      </c>
      <c r="V72" t="s">
        <v>25</v>
      </c>
      <c r="W72" t="s">
        <v>30</v>
      </c>
    </row>
    <row r="73" spans="1:23" x14ac:dyDescent="0.35">
      <c r="A73">
        <v>10454</v>
      </c>
      <c r="B73" t="s">
        <v>34</v>
      </c>
      <c r="C73">
        <v>0</v>
      </c>
      <c r="D73" t="s">
        <v>26</v>
      </c>
      <c r="E73" t="s">
        <v>25</v>
      </c>
      <c r="F73">
        <v>52</v>
      </c>
      <c r="G73" t="s">
        <v>26</v>
      </c>
      <c r="H73" t="s">
        <v>25</v>
      </c>
      <c r="I73" t="s">
        <v>27</v>
      </c>
      <c r="J73" t="s">
        <v>37</v>
      </c>
      <c r="K73" t="s">
        <v>25</v>
      </c>
      <c r="L73" t="s">
        <v>25</v>
      </c>
      <c r="M73" t="s">
        <v>26</v>
      </c>
      <c r="N73" t="s">
        <v>26</v>
      </c>
      <c r="O73" t="s">
        <v>25</v>
      </c>
      <c r="P73" t="s">
        <v>28</v>
      </c>
      <c r="Q73" t="s">
        <v>25</v>
      </c>
      <c r="R73" t="s">
        <v>39</v>
      </c>
      <c r="S73">
        <v>30.68</v>
      </c>
      <c r="T73">
        <v>1169.94</v>
      </c>
      <c r="U73">
        <v>44263</v>
      </c>
      <c r="V73" t="s">
        <v>25</v>
      </c>
      <c r="W73" t="s">
        <v>30</v>
      </c>
    </row>
    <row r="74" spans="1:23" x14ac:dyDescent="0.35">
      <c r="A74">
        <v>10971</v>
      </c>
      <c r="B74" t="s">
        <v>34</v>
      </c>
      <c r="C74">
        <v>0</v>
      </c>
      <c r="D74" t="s">
        <v>26</v>
      </c>
      <c r="E74" t="s">
        <v>26</v>
      </c>
      <c r="F74">
        <v>32</v>
      </c>
      <c r="G74" t="s">
        <v>26</v>
      </c>
      <c r="H74" t="s">
        <v>25</v>
      </c>
      <c r="I74" t="s">
        <v>25</v>
      </c>
      <c r="J74" t="s">
        <v>26</v>
      </c>
      <c r="K74" t="s">
        <v>26</v>
      </c>
      <c r="L74" t="s">
        <v>26</v>
      </c>
      <c r="M74" t="s">
        <v>37</v>
      </c>
      <c r="N74" t="s">
        <v>26</v>
      </c>
      <c r="O74" t="s">
        <v>37</v>
      </c>
      <c r="P74" t="s">
        <v>28</v>
      </c>
      <c r="Q74" t="s">
        <v>25</v>
      </c>
      <c r="R74" t="s">
        <v>39</v>
      </c>
      <c r="S74">
        <v>92.91</v>
      </c>
      <c r="T74">
        <v>7743.59</v>
      </c>
      <c r="U74">
        <v>45170</v>
      </c>
      <c r="V74" t="s">
        <v>25</v>
      </c>
      <c r="W74" t="s">
        <v>30</v>
      </c>
    </row>
    <row r="75" spans="1:23" x14ac:dyDescent="0.35">
      <c r="A75">
        <v>18311</v>
      </c>
      <c r="B75" t="s">
        <v>31</v>
      </c>
      <c r="C75" t="s">
        <v>25</v>
      </c>
      <c r="D75" t="s">
        <v>26</v>
      </c>
      <c r="E75" t="s">
        <v>25</v>
      </c>
      <c r="F75">
        <v>5</v>
      </c>
      <c r="G75" t="s">
        <v>25</v>
      </c>
      <c r="H75" t="s">
        <v>26</v>
      </c>
      <c r="I75" t="s">
        <v>27</v>
      </c>
      <c r="J75" t="s">
        <v>26</v>
      </c>
      <c r="K75" t="s">
        <v>26</v>
      </c>
      <c r="L75" t="s">
        <v>36</v>
      </c>
      <c r="M75" t="s">
        <v>37</v>
      </c>
      <c r="N75" t="s">
        <v>26</v>
      </c>
      <c r="O75" t="s">
        <v>37</v>
      </c>
      <c r="P75" t="s">
        <v>48</v>
      </c>
      <c r="Q75" t="s">
        <v>38</v>
      </c>
      <c r="R75" t="s">
        <v>39</v>
      </c>
      <c r="S75">
        <v>39.96</v>
      </c>
      <c r="T75">
        <v>815.87</v>
      </c>
      <c r="U75">
        <v>45037</v>
      </c>
      <c r="V75" t="s">
        <v>25</v>
      </c>
      <c r="W75" t="s">
        <v>30</v>
      </c>
    </row>
    <row r="76" spans="1:23" x14ac:dyDescent="0.35">
      <c r="A76">
        <v>19622</v>
      </c>
      <c r="B76" t="s">
        <v>31</v>
      </c>
      <c r="C76">
        <v>0</v>
      </c>
      <c r="D76" t="s">
        <v>26</v>
      </c>
      <c r="E76" t="s">
        <v>26</v>
      </c>
      <c r="F76">
        <v>33</v>
      </c>
      <c r="G76" t="s">
        <v>26</v>
      </c>
      <c r="H76" t="s">
        <v>25</v>
      </c>
      <c r="I76" t="s">
        <v>35</v>
      </c>
      <c r="J76" t="s">
        <v>25</v>
      </c>
      <c r="K76" t="s">
        <v>25</v>
      </c>
      <c r="L76" t="s">
        <v>25</v>
      </c>
      <c r="M76" t="s">
        <v>37</v>
      </c>
      <c r="N76" t="s">
        <v>26</v>
      </c>
      <c r="O76" t="s">
        <v>38</v>
      </c>
      <c r="P76" t="s">
        <v>41</v>
      </c>
      <c r="Q76" t="s">
        <v>26</v>
      </c>
      <c r="R76" t="s">
        <v>43</v>
      </c>
      <c r="S76">
        <v>36.869999999999997</v>
      </c>
      <c r="U76">
        <v>43982</v>
      </c>
      <c r="V76" t="s">
        <v>25</v>
      </c>
      <c r="W76" t="s">
        <v>30</v>
      </c>
    </row>
    <row r="77" spans="1:23" x14ac:dyDescent="0.35">
      <c r="A77">
        <v>14811</v>
      </c>
      <c r="B77" t="s">
        <v>51</v>
      </c>
      <c r="C77">
        <v>1</v>
      </c>
      <c r="D77" t="s">
        <v>25</v>
      </c>
      <c r="E77" t="s">
        <v>26</v>
      </c>
      <c r="F77">
        <v>6</v>
      </c>
      <c r="G77" t="s">
        <v>26</v>
      </c>
      <c r="H77" t="s">
        <v>47</v>
      </c>
      <c r="I77" t="s">
        <v>25</v>
      </c>
      <c r="J77" t="s">
        <v>26</v>
      </c>
      <c r="K77" t="s">
        <v>25</v>
      </c>
      <c r="L77" t="s">
        <v>26</v>
      </c>
      <c r="M77" t="s">
        <v>26</v>
      </c>
      <c r="N77" t="s">
        <v>26</v>
      </c>
      <c r="O77" t="s">
        <v>37</v>
      </c>
      <c r="P77" t="s">
        <v>32</v>
      </c>
      <c r="Q77" t="s">
        <v>36</v>
      </c>
      <c r="R77" t="s">
        <v>43</v>
      </c>
      <c r="S77">
        <v>88.22</v>
      </c>
      <c r="T77">
        <v>2698.97</v>
      </c>
      <c r="U77">
        <v>44498</v>
      </c>
      <c r="V77" t="s">
        <v>25</v>
      </c>
      <c r="W77" t="s">
        <v>30</v>
      </c>
    </row>
    <row r="78" spans="1:23" x14ac:dyDescent="0.35">
      <c r="A78">
        <v>6223</v>
      </c>
      <c r="B78" t="s">
        <v>34</v>
      </c>
      <c r="C78">
        <v>0</v>
      </c>
      <c r="D78" t="s">
        <v>25</v>
      </c>
      <c r="E78" t="s">
        <v>25</v>
      </c>
      <c r="F78">
        <v>55</v>
      </c>
      <c r="G78" t="s">
        <v>36</v>
      </c>
      <c r="H78" t="s">
        <v>26</v>
      </c>
      <c r="I78" t="s">
        <v>35</v>
      </c>
      <c r="J78" t="s">
        <v>25</v>
      </c>
      <c r="K78" t="s">
        <v>25</v>
      </c>
      <c r="L78" t="s">
        <v>37</v>
      </c>
      <c r="M78" t="s">
        <v>25</v>
      </c>
      <c r="N78" t="s">
        <v>37</v>
      </c>
      <c r="O78" t="s">
        <v>25</v>
      </c>
      <c r="P78" t="s">
        <v>32</v>
      </c>
      <c r="Q78" t="s">
        <v>25</v>
      </c>
      <c r="R78" t="s">
        <v>33</v>
      </c>
      <c r="T78">
        <v>6340.72</v>
      </c>
      <c r="U78">
        <v>44307</v>
      </c>
      <c r="V78" t="s">
        <v>25</v>
      </c>
      <c r="W78" t="s">
        <v>30</v>
      </c>
    </row>
    <row r="79" spans="1:23" x14ac:dyDescent="0.35">
      <c r="A79">
        <v>9409</v>
      </c>
      <c r="B79" t="s">
        <v>31</v>
      </c>
      <c r="C79">
        <v>0</v>
      </c>
      <c r="D79" t="s">
        <v>25</v>
      </c>
      <c r="E79" t="s">
        <v>25</v>
      </c>
      <c r="F79">
        <v>32</v>
      </c>
      <c r="G79" t="s">
        <v>26</v>
      </c>
      <c r="H79" t="s">
        <v>26</v>
      </c>
      <c r="I79" t="s">
        <v>27</v>
      </c>
      <c r="J79" t="s">
        <v>25</v>
      </c>
      <c r="K79" t="s">
        <v>26</v>
      </c>
      <c r="L79" t="s">
        <v>25</v>
      </c>
      <c r="M79" t="s">
        <v>26</v>
      </c>
      <c r="N79" t="s">
        <v>37</v>
      </c>
      <c r="O79" t="s">
        <v>25</v>
      </c>
      <c r="P79" t="s">
        <v>48</v>
      </c>
      <c r="Q79" t="s">
        <v>26</v>
      </c>
      <c r="R79" t="s">
        <v>29</v>
      </c>
      <c r="S79">
        <v>82.89</v>
      </c>
      <c r="T79">
        <v>6004.15</v>
      </c>
      <c r="U79">
        <v>44061</v>
      </c>
      <c r="V79" t="s">
        <v>25</v>
      </c>
      <c r="W79" t="s">
        <v>30</v>
      </c>
    </row>
    <row r="80" spans="1:23" x14ac:dyDescent="0.35">
      <c r="A80">
        <v>19947</v>
      </c>
      <c r="B80" t="s">
        <v>34</v>
      </c>
      <c r="C80">
        <v>0</v>
      </c>
      <c r="D80" t="s">
        <v>25</v>
      </c>
      <c r="E80" t="s">
        <v>26</v>
      </c>
      <c r="F80">
        <v>41</v>
      </c>
      <c r="G80" t="s">
        <v>26</v>
      </c>
      <c r="H80" t="s">
        <v>25</v>
      </c>
      <c r="I80" t="s">
        <v>35</v>
      </c>
      <c r="J80" t="s">
        <v>26</v>
      </c>
      <c r="K80" t="s">
        <v>25</v>
      </c>
      <c r="L80" t="s">
        <v>26</v>
      </c>
      <c r="M80" t="s">
        <v>25</v>
      </c>
      <c r="N80" t="s">
        <v>25</v>
      </c>
      <c r="O80" t="s">
        <v>37</v>
      </c>
      <c r="P80" t="s">
        <v>28</v>
      </c>
      <c r="Q80" t="s">
        <v>36</v>
      </c>
      <c r="R80" t="s">
        <v>43</v>
      </c>
      <c r="S80">
        <v>26.38</v>
      </c>
      <c r="T80">
        <v>6227.14</v>
      </c>
      <c r="U80">
        <v>44054</v>
      </c>
      <c r="V80" t="s">
        <v>25</v>
      </c>
      <c r="W80" t="s">
        <v>30</v>
      </c>
    </row>
    <row r="81" spans="1:23" x14ac:dyDescent="0.35">
      <c r="A81">
        <v>18577</v>
      </c>
      <c r="B81" t="s">
        <v>34</v>
      </c>
      <c r="C81">
        <v>1</v>
      </c>
      <c r="D81" t="s">
        <v>26</v>
      </c>
      <c r="E81" t="s">
        <v>25</v>
      </c>
      <c r="F81">
        <v>32</v>
      </c>
      <c r="G81" t="s">
        <v>26</v>
      </c>
      <c r="H81" t="s">
        <v>36</v>
      </c>
      <c r="I81" t="s">
        <v>25</v>
      </c>
      <c r="J81" t="s">
        <v>26</v>
      </c>
      <c r="K81" t="s">
        <v>38</v>
      </c>
      <c r="L81" t="s">
        <v>25</v>
      </c>
      <c r="M81" t="s">
        <v>26</v>
      </c>
      <c r="N81" t="s">
        <v>25</v>
      </c>
      <c r="O81" t="s">
        <v>25</v>
      </c>
      <c r="P81" t="s">
        <v>32</v>
      </c>
      <c r="Q81" t="s">
        <v>26</v>
      </c>
      <c r="R81" t="s">
        <v>49</v>
      </c>
      <c r="S81">
        <v>84.66</v>
      </c>
      <c r="T81">
        <v>3644.47</v>
      </c>
      <c r="U81">
        <v>45094</v>
      </c>
      <c r="V81" t="s">
        <v>25</v>
      </c>
      <c r="W81" t="s">
        <v>30</v>
      </c>
    </row>
    <row r="82" spans="1:23" x14ac:dyDescent="0.35">
      <c r="A82">
        <v>19610</v>
      </c>
      <c r="B82" t="s">
        <v>31</v>
      </c>
      <c r="C82">
        <v>0</v>
      </c>
      <c r="D82" t="s">
        <v>25</v>
      </c>
      <c r="E82" t="s">
        <v>26</v>
      </c>
      <c r="F82">
        <v>27</v>
      </c>
      <c r="G82" t="s">
        <v>26</v>
      </c>
      <c r="H82" t="s">
        <v>26</v>
      </c>
      <c r="I82" t="s">
        <v>25</v>
      </c>
      <c r="J82" t="s">
        <v>26</v>
      </c>
      <c r="K82" t="s">
        <v>25</v>
      </c>
      <c r="L82" t="s">
        <v>38</v>
      </c>
      <c r="M82" t="s">
        <v>25</v>
      </c>
      <c r="N82" t="s">
        <v>37</v>
      </c>
      <c r="O82" t="s">
        <v>26</v>
      </c>
      <c r="P82" t="s">
        <v>45</v>
      </c>
      <c r="Q82" t="s">
        <v>25</v>
      </c>
      <c r="R82" t="s">
        <v>49</v>
      </c>
      <c r="S82">
        <v>21.65</v>
      </c>
      <c r="T82">
        <v>4714.45</v>
      </c>
      <c r="U82">
        <v>43983</v>
      </c>
      <c r="V82" t="s">
        <v>25</v>
      </c>
      <c r="W82" t="s">
        <v>30</v>
      </c>
    </row>
    <row r="83" spans="1:23" x14ac:dyDescent="0.35">
      <c r="A83">
        <v>10967</v>
      </c>
      <c r="B83" t="s">
        <v>31</v>
      </c>
      <c r="C83">
        <v>0</v>
      </c>
      <c r="D83" t="s">
        <v>25</v>
      </c>
      <c r="E83" t="s">
        <v>25</v>
      </c>
      <c r="F83">
        <v>35</v>
      </c>
      <c r="G83" t="s">
        <v>25</v>
      </c>
      <c r="H83" t="s">
        <v>26</v>
      </c>
      <c r="I83" t="s">
        <v>27</v>
      </c>
      <c r="J83" t="s">
        <v>25</v>
      </c>
      <c r="K83" t="s">
        <v>25</v>
      </c>
      <c r="L83" t="s">
        <v>25</v>
      </c>
      <c r="M83" t="s">
        <v>25</v>
      </c>
      <c r="N83" t="s">
        <v>26</v>
      </c>
      <c r="O83" t="s">
        <v>26</v>
      </c>
      <c r="P83" t="s">
        <v>45</v>
      </c>
      <c r="Q83" t="s">
        <v>36</v>
      </c>
      <c r="R83" t="s">
        <v>49</v>
      </c>
      <c r="S83">
        <v>76.930000000000007</v>
      </c>
      <c r="T83">
        <v>6471.12</v>
      </c>
      <c r="U83">
        <v>43906</v>
      </c>
      <c r="V83" t="s">
        <v>25</v>
      </c>
      <c r="W83" t="s">
        <v>30</v>
      </c>
    </row>
    <row r="84" spans="1:23" x14ac:dyDescent="0.35">
      <c r="A84">
        <v>9254</v>
      </c>
      <c r="B84" t="s">
        <v>31</v>
      </c>
      <c r="C84">
        <v>0</v>
      </c>
      <c r="D84" t="s">
        <v>26</v>
      </c>
      <c r="E84" t="s">
        <v>25</v>
      </c>
      <c r="F84">
        <v>70</v>
      </c>
      <c r="G84" t="s">
        <v>26</v>
      </c>
      <c r="H84" t="s">
        <v>25</v>
      </c>
      <c r="I84" t="s">
        <v>25</v>
      </c>
      <c r="J84" t="s">
        <v>26</v>
      </c>
      <c r="K84" t="s">
        <v>25</v>
      </c>
      <c r="L84" t="s">
        <v>25</v>
      </c>
      <c r="M84" t="s">
        <v>26</v>
      </c>
      <c r="N84" t="s">
        <v>36</v>
      </c>
      <c r="O84" t="s">
        <v>25</v>
      </c>
      <c r="P84" t="s">
        <v>28</v>
      </c>
      <c r="Q84" t="s">
        <v>25</v>
      </c>
      <c r="R84" t="s">
        <v>39</v>
      </c>
      <c r="S84">
        <v>51.98</v>
      </c>
      <c r="T84">
        <v>1305.6199999999999</v>
      </c>
      <c r="U84">
        <v>44449</v>
      </c>
      <c r="V84" t="s">
        <v>25</v>
      </c>
      <c r="W84" t="s">
        <v>30</v>
      </c>
    </row>
    <row r="85" spans="1:23" x14ac:dyDescent="0.35">
      <c r="A85">
        <v>1448</v>
      </c>
      <c r="B85" t="s">
        <v>31</v>
      </c>
      <c r="C85">
        <v>0</v>
      </c>
      <c r="D85" t="s">
        <v>26</v>
      </c>
      <c r="E85" t="s">
        <v>25</v>
      </c>
      <c r="F85">
        <v>15</v>
      </c>
      <c r="G85" t="s">
        <v>26</v>
      </c>
      <c r="H85" t="s">
        <v>25</v>
      </c>
      <c r="I85" t="s">
        <v>27</v>
      </c>
      <c r="J85" t="s">
        <v>25</v>
      </c>
      <c r="K85" t="s">
        <v>26</v>
      </c>
      <c r="L85" t="s">
        <v>36</v>
      </c>
      <c r="M85" t="s">
        <v>26</v>
      </c>
      <c r="N85" t="s">
        <v>25</v>
      </c>
      <c r="O85" t="s">
        <v>37</v>
      </c>
      <c r="P85" t="s">
        <v>28</v>
      </c>
      <c r="Q85" t="s">
        <v>26</v>
      </c>
      <c r="R85" t="s">
        <v>49</v>
      </c>
      <c r="S85">
        <v>73.42</v>
      </c>
      <c r="T85">
        <v>3826.62</v>
      </c>
      <c r="U85">
        <v>45117</v>
      </c>
      <c r="V85" t="s">
        <v>25</v>
      </c>
      <c r="W85" t="s">
        <v>30</v>
      </c>
    </row>
    <row r="86" spans="1:23" x14ac:dyDescent="0.35">
      <c r="A86">
        <v>5986</v>
      </c>
      <c r="B86" t="s">
        <v>34</v>
      </c>
      <c r="C86">
        <v>1</v>
      </c>
      <c r="D86" t="s">
        <v>25</v>
      </c>
      <c r="E86" t="s">
        <v>25</v>
      </c>
      <c r="F86">
        <v>36</v>
      </c>
      <c r="G86" t="s">
        <v>36</v>
      </c>
      <c r="H86" t="s">
        <v>25</v>
      </c>
      <c r="I86" t="s">
        <v>27</v>
      </c>
      <c r="J86" t="s">
        <v>25</v>
      </c>
      <c r="K86" t="s">
        <v>37</v>
      </c>
      <c r="L86" t="s">
        <v>26</v>
      </c>
      <c r="M86" t="s">
        <v>26</v>
      </c>
      <c r="N86" t="s">
        <v>26</v>
      </c>
      <c r="O86" t="s">
        <v>25</v>
      </c>
      <c r="P86" t="s">
        <v>45</v>
      </c>
      <c r="Q86" t="s">
        <v>25</v>
      </c>
      <c r="R86" t="s">
        <v>43</v>
      </c>
      <c r="S86">
        <v>104.05</v>
      </c>
      <c r="T86">
        <v>1818.83</v>
      </c>
      <c r="U86">
        <v>44499</v>
      </c>
      <c r="V86" t="s">
        <v>25</v>
      </c>
      <c r="W86" t="s">
        <v>30</v>
      </c>
    </row>
    <row r="87" spans="1:23" x14ac:dyDescent="0.35">
      <c r="A87">
        <v>10749</v>
      </c>
      <c r="B87" t="s">
        <v>34</v>
      </c>
      <c r="C87">
        <v>1</v>
      </c>
      <c r="D87" t="s">
        <v>26</v>
      </c>
      <c r="E87" t="s">
        <v>25</v>
      </c>
      <c r="F87">
        <v>53</v>
      </c>
      <c r="G87" t="s">
        <v>38</v>
      </c>
      <c r="H87" t="s">
        <v>25</v>
      </c>
      <c r="I87" t="s">
        <v>25</v>
      </c>
      <c r="J87" t="s">
        <v>26</v>
      </c>
      <c r="K87" t="s">
        <v>25</v>
      </c>
      <c r="L87" t="s">
        <v>36</v>
      </c>
      <c r="M87" t="s">
        <v>25</v>
      </c>
      <c r="N87" t="s">
        <v>38</v>
      </c>
      <c r="O87" t="s">
        <v>26</v>
      </c>
      <c r="P87" t="s">
        <v>28</v>
      </c>
      <c r="Q87" t="s">
        <v>26</v>
      </c>
      <c r="R87" t="s">
        <v>29</v>
      </c>
      <c r="S87">
        <v>69.86</v>
      </c>
      <c r="T87">
        <v>2382.64</v>
      </c>
      <c r="U87">
        <v>44280</v>
      </c>
      <c r="V87" t="s">
        <v>25</v>
      </c>
      <c r="W87" t="s">
        <v>30</v>
      </c>
    </row>
    <row r="88" spans="1:23" x14ac:dyDescent="0.35">
      <c r="A88">
        <v>18093</v>
      </c>
      <c r="B88" t="s">
        <v>1</v>
      </c>
      <c r="C88">
        <v>0</v>
      </c>
      <c r="D88" t="s">
        <v>26</v>
      </c>
      <c r="E88" t="s">
        <v>25</v>
      </c>
      <c r="F88">
        <v>53</v>
      </c>
      <c r="G88" t="s">
        <v>26</v>
      </c>
      <c r="H88" t="s">
        <v>26</v>
      </c>
      <c r="I88" t="s">
        <v>27</v>
      </c>
      <c r="J88" t="s">
        <v>37</v>
      </c>
      <c r="K88" t="s">
        <v>25</v>
      </c>
      <c r="L88" t="s">
        <v>25</v>
      </c>
      <c r="M88" t="s">
        <v>25</v>
      </c>
      <c r="N88" t="s">
        <v>37</v>
      </c>
      <c r="O88" t="s">
        <v>25</v>
      </c>
      <c r="P88" t="s">
        <v>32</v>
      </c>
      <c r="Q88" t="s">
        <v>26</v>
      </c>
      <c r="R88" t="s">
        <v>29</v>
      </c>
      <c r="S88">
        <v>58.93</v>
      </c>
      <c r="T88">
        <v>7330.48</v>
      </c>
      <c r="U88">
        <v>44918</v>
      </c>
      <c r="V88" t="s">
        <v>25</v>
      </c>
      <c r="W88" t="s">
        <v>30</v>
      </c>
    </row>
    <row r="89" spans="1:23" x14ac:dyDescent="0.35">
      <c r="A89">
        <v>16488</v>
      </c>
      <c r="B89" t="s">
        <v>34</v>
      </c>
      <c r="C89">
        <v>0</v>
      </c>
      <c r="D89" t="s">
        <v>25</v>
      </c>
      <c r="E89" t="s">
        <v>25</v>
      </c>
      <c r="F89">
        <v>24</v>
      </c>
      <c r="G89" t="s">
        <v>26</v>
      </c>
      <c r="H89" t="s">
        <v>47</v>
      </c>
      <c r="I89" t="s">
        <v>35</v>
      </c>
      <c r="J89" t="s">
        <v>26</v>
      </c>
      <c r="K89" t="s">
        <v>26</v>
      </c>
      <c r="L89" t="s">
        <v>26</v>
      </c>
      <c r="M89" t="s">
        <v>37</v>
      </c>
      <c r="N89" t="s">
        <v>26</v>
      </c>
      <c r="O89" t="s">
        <v>26</v>
      </c>
      <c r="P89" t="s">
        <v>32</v>
      </c>
      <c r="Q89" t="s">
        <v>26</v>
      </c>
      <c r="R89" t="s">
        <v>49</v>
      </c>
      <c r="T89">
        <v>3565.15</v>
      </c>
      <c r="U89">
        <v>45563</v>
      </c>
      <c r="V89" t="s">
        <v>25</v>
      </c>
      <c r="W89" t="s">
        <v>30</v>
      </c>
    </row>
    <row r="90" spans="1:23" x14ac:dyDescent="0.35">
      <c r="A90">
        <v>19327</v>
      </c>
      <c r="B90" t="s">
        <v>31</v>
      </c>
      <c r="C90">
        <v>1</v>
      </c>
      <c r="D90" t="s">
        <v>25</v>
      </c>
      <c r="E90" t="s">
        <v>38</v>
      </c>
      <c r="F90">
        <v>14</v>
      </c>
      <c r="G90" t="s">
        <v>26</v>
      </c>
      <c r="H90" t="s">
        <v>47</v>
      </c>
      <c r="I90" t="s">
        <v>25</v>
      </c>
      <c r="J90" t="s">
        <v>25</v>
      </c>
      <c r="K90" t="s">
        <v>25</v>
      </c>
      <c r="L90" t="s">
        <v>37</v>
      </c>
      <c r="M90" t="s">
        <v>37</v>
      </c>
      <c r="N90" t="s">
        <v>37</v>
      </c>
      <c r="O90" t="s">
        <v>37</v>
      </c>
      <c r="P90" t="s">
        <v>32</v>
      </c>
      <c r="Q90" t="s">
        <v>25</v>
      </c>
      <c r="R90" t="s">
        <v>33</v>
      </c>
      <c r="S90">
        <v>96.38</v>
      </c>
      <c r="T90">
        <v>6575.34</v>
      </c>
      <c r="U90">
        <v>45121</v>
      </c>
      <c r="V90" t="s">
        <v>25</v>
      </c>
      <c r="W90" t="s">
        <v>30</v>
      </c>
    </row>
    <row r="91" spans="1:23" x14ac:dyDescent="0.35">
      <c r="A91">
        <v>19304</v>
      </c>
      <c r="B91" t="s">
        <v>46</v>
      </c>
      <c r="C91">
        <v>0</v>
      </c>
      <c r="D91" t="s">
        <v>38</v>
      </c>
      <c r="E91" t="s">
        <v>26</v>
      </c>
      <c r="F91">
        <v>61</v>
      </c>
      <c r="G91" t="s">
        <v>26</v>
      </c>
      <c r="H91" t="s">
        <v>25</v>
      </c>
      <c r="I91" t="s">
        <v>25</v>
      </c>
      <c r="J91" t="s">
        <v>25</v>
      </c>
      <c r="K91" t="s">
        <v>38</v>
      </c>
      <c r="L91" t="s">
        <v>25</v>
      </c>
      <c r="M91" t="s">
        <v>25</v>
      </c>
      <c r="N91" t="s">
        <v>25</v>
      </c>
      <c r="O91" t="s">
        <v>25</v>
      </c>
      <c r="P91" t="s">
        <v>32</v>
      </c>
      <c r="Q91" t="s">
        <v>26</v>
      </c>
      <c r="R91" t="s">
        <v>29</v>
      </c>
      <c r="S91">
        <v>118.79</v>
      </c>
      <c r="T91">
        <v>2304.4899999999998</v>
      </c>
      <c r="U91">
        <v>45350</v>
      </c>
      <c r="V91" t="s">
        <v>25</v>
      </c>
      <c r="W91" t="s">
        <v>30</v>
      </c>
    </row>
    <row r="92" spans="1:23" x14ac:dyDescent="0.35">
      <c r="A92">
        <v>8585</v>
      </c>
      <c r="B92" t="s">
        <v>31</v>
      </c>
      <c r="C92">
        <v>0</v>
      </c>
      <c r="D92" t="s">
        <v>26</v>
      </c>
      <c r="E92" t="s">
        <v>25</v>
      </c>
      <c r="F92">
        <v>39</v>
      </c>
      <c r="G92" t="s">
        <v>26</v>
      </c>
      <c r="H92" t="s">
        <v>26</v>
      </c>
      <c r="I92" t="s">
        <v>27</v>
      </c>
      <c r="J92" t="s">
        <v>25</v>
      </c>
      <c r="K92" t="s">
        <v>25</v>
      </c>
      <c r="L92" t="s">
        <v>25</v>
      </c>
      <c r="M92" t="s">
        <v>37</v>
      </c>
      <c r="N92" t="s">
        <v>36</v>
      </c>
      <c r="O92" t="s">
        <v>25</v>
      </c>
      <c r="P92" t="s">
        <v>45</v>
      </c>
      <c r="Q92" t="s">
        <v>26</v>
      </c>
      <c r="R92" t="s">
        <v>43</v>
      </c>
      <c r="S92">
        <v>28.68</v>
      </c>
      <c r="T92">
        <v>7985.91</v>
      </c>
      <c r="U92">
        <v>44313</v>
      </c>
      <c r="V92" t="s">
        <v>25</v>
      </c>
      <c r="W92" t="s">
        <v>30</v>
      </c>
    </row>
    <row r="93" spans="1:23" x14ac:dyDescent="0.35">
      <c r="A93">
        <v>10383</v>
      </c>
      <c r="B93" t="s">
        <v>31</v>
      </c>
      <c r="C93" t="s">
        <v>25</v>
      </c>
      <c r="D93" t="s">
        <v>26</v>
      </c>
      <c r="E93" t="s">
        <v>25</v>
      </c>
      <c r="F93">
        <v>42</v>
      </c>
      <c r="G93" t="s">
        <v>25</v>
      </c>
      <c r="H93" t="s">
        <v>26</v>
      </c>
      <c r="I93" t="s">
        <v>27</v>
      </c>
      <c r="J93" t="s">
        <v>26</v>
      </c>
      <c r="K93" t="s">
        <v>26</v>
      </c>
      <c r="L93" t="s">
        <v>26</v>
      </c>
      <c r="M93" t="s">
        <v>26</v>
      </c>
      <c r="N93" t="s">
        <v>37</v>
      </c>
      <c r="O93" t="s">
        <v>36</v>
      </c>
      <c r="P93" t="s">
        <v>28</v>
      </c>
      <c r="Q93" t="s">
        <v>26</v>
      </c>
      <c r="R93" t="s">
        <v>39</v>
      </c>
      <c r="S93">
        <v>52.28</v>
      </c>
      <c r="T93">
        <v>2958.47</v>
      </c>
      <c r="U93">
        <v>43928</v>
      </c>
      <c r="V93" t="s">
        <v>25</v>
      </c>
      <c r="W93" t="s">
        <v>30</v>
      </c>
    </row>
    <row r="94" spans="1:23" x14ac:dyDescent="0.35">
      <c r="A94">
        <v>9732</v>
      </c>
      <c r="B94" t="s">
        <v>31</v>
      </c>
      <c r="C94">
        <v>0</v>
      </c>
      <c r="D94" t="s">
        <v>25</v>
      </c>
      <c r="E94" t="s">
        <v>25</v>
      </c>
      <c r="F94">
        <v>46</v>
      </c>
      <c r="G94" t="s">
        <v>25</v>
      </c>
      <c r="H94" t="s">
        <v>26</v>
      </c>
      <c r="I94" t="s">
        <v>25</v>
      </c>
      <c r="J94" t="s">
        <v>38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32</v>
      </c>
      <c r="Q94" t="s">
        <v>26</v>
      </c>
      <c r="R94" t="s">
        <v>29</v>
      </c>
      <c r="S94">
        <v>47.21</v>
      </c>
      <c r="T94">
        <v>5362.74</v>
      </c>
      <c r="U94">
        <v>44334</v>
      </c>
      <c r="V94" t="s">
        <v>25</v>
      </c>
      <c r="W94" t="s">
        <v>50</v>
      </c>
    </row>
    <row r="95" spans="1:23" x14ac:dyDescent="0.35">
      <c r="A95">
        <v>19295</v>
      </c>
      <c r="B95" t="s">
        <v>51</v>
      </c>
      <c r="C95">
        <v>0</v>
      </c>
      <c r="D95" t="s">
        <v>25</v>
      </c>
      <c r="E95" t="s">
        <v>25</v>
      </c>
      <c r="F95">
        <v>21</v>
      </c>
      <c r="G95" t="s">
        <v>25</v>
      </c>
      <c r="H95" t="s">
        <v>25</v>
      </c>
      <c r="I95" t="s">
        <v>25</v>
      </c>
      <c r="J95" t="s">
        <v>26</v>
      </c>
      <c r="K95" t="s">
        <v>37</v>
      </c>
      <c r="L95" t="s">
        <v>25</v>
      </c>
      <c r="M95" t="s">
        <v>25</v>
      </c>
      <c r="N95" t="s">
        <v>25</v>
      </c>
      <c r="O95" t="s">
        <v>37</v>
      </c>
      <c r="P95" t="s">
        <v>28</v>
      </c>
      <c r="Q95" t="s">
        <v>26</v>
      </c>
      <c r="R95" t="s">
        <v>39</v>
      </c>
      <c r="S95">
        <v>61.46</v>
      </c>
      <c r="T95">
        <v>1629.51</v>
      </c>
      <c r="U95">
        <v>43883</v>
      </c>
      <c r="V95" t="s">
        <v>25</v>
      </c>
      <c r="W95" t="s">
        <v>30</v>
      </c>
    </row>
    <row r="96" spans="1:23" x14ac:dyDescent="0.35">
      <c r="A96">
        <v>13104</v>
      </c>
      <c r="B96" t="s">
        <v>31</v>
      </c>
      <c r="C96">
        <v>0</v>
      </c>
      <c r="D96" t="s">
        <v>25</v>
      </c>
      <c r="E96" t="s">
        <v>25</v>
      </c>
      <c r="F96">
        <v>11</v>
      </c>
      <c r="G96" t="s">
        <v>26</v>
      </c>
      <c r="H96" t="s">
        <v>25</v>
      </c>
      <c r="I96" t="s">
        <v>35</v>
      </c>
      <c r="J96" t="s">
        <v>26</v>
      </c>
      <c r="K96" t="s">
        <v>26</v>
      </c>
      <c r="L96" t="s">
        <v>26</v>
      </c>
      <c r="M96" t="s">
        <v>25</v>
      </c>
      <c r="N96" t="s">
        <v>25</v>
      </c>
      <c r="O96" t="s">
        <v>26</v>
      </c>
      <c r="P96" t="s">
        <v>32</v>
      </c>
      <c r="Q96" t="s">
        <v>36</v>
      </c>
      <c r="R96" t="s">
        <v>29</v>
      </c>
      <c r="T96">
        <v>7812.16</v>
      </c>
      <c r="U96">
        <v>43859</v>
      </c>
      <c r="V96" t="s">
        <v>25</v>
      </c>
      <c r="W96" t="s">
        <v>30</v>
      </c>
    </row>
    <row r="97" spans="1:23" x14ac:dyDescent="0.35">
      <c r="A97">
        <v>1386</v>
      </c>
      <c r="B97" t="s">
        <v>51</v>
      </c>
      <c r="C97">
        <v>0</v>
      </c>
      <c r="D97" t="s">
        <v>25</v>
      </c>
      <c r="E97" t="s">
        <v>25</v>
      </c>
      <c r="F97">
        <v>11</v>
      </c>
      <c r="G97" t="s">
        <v>26</v>
      </c>
      <c r="H97" t="s">
        <v>47</v>
      </c>
      <c r="I97" t="s">
        <v>52</v>
      </c>
      <c r="J97" t="s">
        <v>25</v>
      </c>
      <c r="K97" t="s">
        <v>37</v>
      </c>
      <c r="L97" t="s">
        <v>25</v>
      </c>
      <c r="M97" t="s">
        <v>36</v>
      </c>
      <c r="N97" t="s">
        <v>26</v>
      </c>
      <c r="O97" t="s">
        <v>26</v>
      </c>
      <c r="P97" t="s">
        <v>32</v>
      </c>
      <c r="Q97" t="s">
        <v>25</v>
      </c>
      <c r="R97" t="s">
        <v>39</v>
      </c>
      <c r="T97">
        <v>3186.94</v>
      </c>
      <c r="U97">
        <v>45257</v>
      </c>
      <c r="V97" t="s">
        <v>26</v>
      </c>
      <c r="W97" t="s">
        <v>30</v>
      </c>
    </row>
    <row r="98" spans="1:23" x14ac:dyDescent="0.35">
      <c r="A98">
        <v>7269</v>
      </c>
      <c r="B98" t="s">
        <v>34</v>
      </c>
      <c r="C98">
        <v>0</v>
      </c>
      <c r="D98" t="s">
        <v>26</v>
      </c>
      <c r="E98" t="s">
        <v>25</v>
      </c>
      <c r="F98">
        <v>1</v>
      </c>
      <c r="G98" t="s">
        <v>26</v>
      </c>
      <c r="H98" t="s">
        <v>47</v>
      </c>
      <c r="I98" t="s">
        <v>27</v>
      </c>
      <c r="J98" t="s">
        <v>37</v>
      </c>
      <c r="K98" t="s">
        <v>37</v>
      </c>
      <c r="L98" t="s">
        <v>25</v>
      </c>
      <c r="M98" t="s">
        <v>37</v>
      </c>
      <c r="N98" t="s">
        <v>36</v>
      </c>
      <c r="O98" t="s">
        <v>37</v>
      </c>
      <c r="P98" t="s">
        <v>28</v>
      </c>
      <c r="Q98" t="s">
        <v>25</v>
      </c>
      <c r="R98" t="s">
        <v>29</v>
      </c>
      <c r="T98">
        <v>3705.73</v>
      </c>
      <c r="U98">
        <v>45148</v>
      </c>
      <c r="V98" t="s">
        <v>25</v>
      </c>
      <c r="W98" t="s">
        <v>30</v>
      </c>
    </row>
    <row r="99" spans="1:23" x14ac:dyDescent="0.35">
      <c r="A99">
        <v>5528</v>
      </c>
      <c r="B99" t="s">
        <v>0</v>
      </c>
      <c r="C99">
        <v>0</v>
      </c>
      <c r="D99" t="s">
        <v>26</v>
      </c>
      <c r="E99" t="s">
        <v>26</v>
      </c>
      <c r="F99">
        <v>19</v>
      </c>
      <c r="G99" t="s">
        <v>26</v>
      </c>
      <c r="H99" t="s">
        <v>26</v>
      </c>
      <c r="I99" t="s">
        <v>40</v>
      </c>
      <c r="J99" t="s">
        <v>26</v>
      </c>
      <c r="K99" t="s">
        <v>25</v>
      </c>
      <c r="L99" t="s">
        <v>25</v>
      </c>
      <c r="M99" t="s">
        <v>36</v>
      </c>
      <c r="N99" t="s">
        <v>37</v>
      </c>
      <c r="O99" t="s">
        <v>26</v>
      </c>
      <c r="P99" t="s">
        <v>32</v>
      </c>
      <c r="Q99" t="s">
        <v>26</v>
      </c>
      <c r="R99" t="s">
        <v>39</v>
      </c>
      <c r="S99">
        <v>112.22</v>
      </c>
      <c r="T99">
        <v>7184.95</v>
      </c>
      <c r="U99">
        <v>44951</v>
      </c>
      <c r="V99" t="s">
        <v>25</v>
      </c>
      <c r="W99" t="s">
        <v>30</v>
      </c>
    </row>
    <row r="100" spans="1:23" x14ac:dyDescent="0.35">
      <c r="A100">
        <v>16124</v>
      </c>
      <c r="B100" t="s">
        <v>31</v>
      </c>
      <c r="C100">
        <v>0</v>
      </c>
      <c r="D100" t="s">
        <v>26</v>
      </c>
      <c r="E100" t="s">
        <v>25</v>
      </c>
      <c r="F100">
        <v>69</v>
      </c>
      <c r="G100" t="s">
        <v>25</v>
      </c>
      <c r="H100" t="s">
        <v>25</v>
      </c>
      <c r="I100" t="s">
        <v>35</v>
      </c>
      <c r="J100" t="s">
        <v>26</v>
      </c>
      <c r="K100" t="s">
        <v>26</v>
      </c>
      <c r="L100" t="s">
        <v>26</v>
      </c>
      <c r="M100" t="s">
        <v>25</v>
      </c>
      <c r="N100" t="s">
        <v>37</v>
      </c>
      <c r="O100" t="s">
        <v>37</v>
      </c>
      <c r="P100" t="s">
        <v>48</v>
      </c>
      <c r="Q100" t="s">
        <v>26</v>
      </c>
      <c r="R100" t="s">
        <v>33</v>
      </c>
      <c r="T100">
        <v>6279.73</v>
      </c>
      <c r="U100">
        <v>44086</v>
      </c>
      <c r="V100" t="s">
        <v>25</v>
      </c>
      <c r="W100" t="s">
        <v>30</v>
      </c>
    </row>
    <row r="101" spans="1:23" x14ac:dyDescent="0.35">
      <c r="A101">
        <v>5150</v>
      </c>
      <c r="B101" t="s">
        <v>31</v>
      </c>
      <c r="C101">
        <v>0</v>
      </c>
      <c r="D101" t="s">
        <v>25</v>
      </c>
      <c r="E101" t="s">
        <v>26</v>
      </c>
      <c r="F101">
        <v>60</v>
      </c>
      <c r="G101" t="s">
        <v>25</v>
      </c>
      <c r="H101" t="s">
        <v>47</v>
      </c>
      <c r="I101" t="s">
        <v>25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25</v>
      </c>
      <c r="P101" t="s">
        <v>45</v>
      </c>
      <c r="Q101" t="s">
        <v>26</v>
      </c>
      <c r="R101" t="s">
        <v>39</v>
      </c>
      <c r="S101">
        <v>111.98</v>
      </c>
      <c r="T101">
        <v>5825.69</v>
      </c>
      <c r="U101">
        <v>44649</v>
      </c>
      <c r="V101" t="s">
        <v>25</v>
      </c>
      <c r="W101" t="s">
        <v>30</v>
      </c>
    </row>
    <row r="102" spans="1:23" x14ac:dyDescent="0.35">
      <c r="A102">
        <v>10996</v>
      </c>
      <c r="B102" t="s">
        <v>46</v>
      </c>
      <c r="C102" t="s">
        <v>26</v>
      </c>
      <c r="D102" t="s">
        <v>25</v>
      </c>
      <c r="E102" t="s">
        <v>25</v>
      </c>
      <c r="F102">
        <v>31</v>
      </c>
      <c r="G102" t="s">
        <v>26</v>
      </c>
      <c r="H102" t="s">
        <v>26</v>
      </c>
      <c r="I102" t="s">
        <v>27</v>
      </c>
      <c r="J102" t="s">
        <v>25</v>
      </c>
      <c r="K102" t="s">
        <v>37</v>
      </c>
      <c r="L102" t="s">
        <v>25</v>
      </c>
      <c r="M102" t="s">
        <v>25</v>
      </c>
      <c r="N102" t="s">
        <v>37</v>
      </c>
      <c r="O102" t="s">
        <v>26</v>
      </c>
      <c r="P102" t="s">
        <v>32</v>
      </c>
      <c r="Q102" t="s">
        <v>25</v>
      </c>
      <c r="R102" t="s">
        <v>33</v>
      </c>
      <c r="U102">
        <v>44048</v>
      </c>
      <c r="V102" t="s">
        <v>25</v>
      </c>
      <c r="W102" t="s">
        <v>30</v>
      </c>
    </row>
    <row r="103" spans="1:23" x14ac:dyDescent="0.35">
      <c r="A103">
        <v>14806</v>
      </c>
      <c r="B103" t="s">
        <v>34</v>
      </c>
      <c r="C103">
        <v>0</v>
      </c>
      <c r="D103" t="s">
        <v>25</v>
      </c>
      <c r="E103" t="s">
        <v>26</v>
      </c>
      <c r="F103">
        <v>27</v>
      </c>
      <c r="G103" t="s">
        <v>26</v>
      </c>
      <c r="H103" t="s">
        <v>26</v>
      </c>
      <c r="I103" t="s">
        <v>40</v>
      </c>
      <c r="J103" t="s">
        <v>25</v>
      </c>
      <c r="K103" t="s">
        <v>36</v>
      </c>
      <c r="L103" t="s">
        <v>26</v>
      </c>
      <c r="M103" t="s">
        <v>25</v>
      </c>
      <c r="N103" t="s">
        <v>26</v>
      </c>
      <c r="O103" t="s">
        <v>26</v>
      </c>
      <c r="P103" t="s">
        <v>32</v>
      </c>
      <c r="Q103" t="s">
        <v>25</v>
      </c>
      <c r="R103" t="s">
        <v>29</v>
      </c>
      <c r="S103">
        <v>60.78</v>
      </c>
      <c r="T103">
        <v>3756.29</v>
      </c>
      <c r="U103">
        <v>45378</v>
      </c>
      <c r="V103" t="s">
        <v>26</v>
      </c>
      <c r="W103" t="s">
        <v>30</v>
      </c>
    </row>
    <row r="104" spans="1:23" x14ac:dyDescent="0.35">
      <c r="A104">
        <v>19538</v>
      </c>
      <c r="B104" t="s">
        <v>46</v>
      </c>
      <c r="C104">
        <v>0</v>
      </c>
      <c r="D104" t="s">
        <v>26</v>
      </c>
      <c r="E104" t="s">
        <v>25</v>
      </c>
      <c r="F104">
        <v>38</v>
      </c>
      <c r="G104" t="s">
        <v>26</v>
      </c>
      <c r="H104" t="s">
        <v>26</v>
      </c>
      <c r="I104" t="s">
        <v>35</v>
      </c>
      <c r="J104" t="s">
        <v>25</v>
      </c>
      <c r="K104" t="s">
        <v>26</v>
      </c>
      <c r="L104" t="s">
        <v>26</v>
      </c>
      <c r="M104" t="s">
        <v>25</v>
      </c>
      <c r="N104" t="s">
        <v>25</v>
      </c>
      <c r="O104" t="s">
        <v>25</v>
      </c>
      <c r="P104" t="s">
        <v>45</v>
      </c>
      <c r="Q104" t="s">
        <v>25</v>
      </c>
      <c r="R104" t="s">
        <v>39</v>
      </c>
      <c r="S104">
        <v>88.35</v>
      </c>
      <c r="T104">
        <v>4491.34</v>
      </c>
      <c r="U104">
        <v>44420</v>
      </c>
      <c r="V104" t="s">
        <v>25</v>
      </c>
      <c r="W104" t="s">
        <v>30</v>
      </c>
    </row>
    <row r="105" spans="1:23" x14ac:dyDescent="0.35">
      <c r="A105">
        <v>20057</v>
      </c>
      <c r="B105" t="s">
        <v>31</v>
      </c>
      <c r="C105" t="s">
        <v>25</v>
      </c>
      <c r="D105" t="s">
        <v>26</v>
      </c>
      <c r="E105" t="s">
        <v>26</v>
      </c>
      <c r="F105">
        <v>47</v>
      </c>
      <c r="G105" t="s">
        <v>26</v>
      </c>
      <c r="H105" t="s">
        <v>25</v>
      </c>
      <c r="I105" t="s">
        <v>52</v>
      </c>
      <c r="J105" t="s">
        <v>38</v>
      </c>
      <c r="K105" t="s">
        <v>26</v>
      </c>
      <c r="L105" t="s">
        <v>25</v>
      </c>
      <c r="M105" t="s">
        <v>37</v>
      </c>
      <c r="N105" t="s">
        <v>25</v>
      </c>
      <c r="O105" t="s">
        <v>26</v>
      </c>
      <c r="P105" t="s">
        <v>32</v>
      </c>
      <c r="Q105" t="s">
        <v>26</v>
      </c>
      <c r="R105" t="s">
        <v>49</v>
      </c>
      <c r="T105">
        <v>7083.28</v>
      </c>
      <c r="U105">
        <v>44491</v>
      </c>
      <c r="V105" t="s">
        <v>25</v>
      </c>
      <c r="W105" t="s">
        <v>30</v>
      </c>
    </row>
    <row r="106" spans="1:23" x14ac:dyDescent="0.35">
      <c r="A106">
        <v>12687</v>
      </c>
      <c r="B106" t="s">
        <v>34</v>
      </c>
      <c r="C106">
        <v>0</v>
      </c>
      <c r="D106" t="s">
        <v>25</v>
      </c>
      <c r="E106" t="s">
        <v>25</v>
      </c>
      <c r="F106">
        <v>29</v>
      </c>
      <c r="G106" t="s">
        <v>26</v>
      </c>
      <c r="H106" t="s">
        <v>47</v>
      </c>
      <c r="I106" t="s">
        <v>27</v>
      </c>
      <c r="J106" t="s">
        <v>25</v>
      </c>
      <c r="K106" t="s">
        <v>37</v>
      </c>
      <c r="L106" t="s">
        <v>26</v>
      </c>
      <c r="M106" t="s">
        <v>37</v>
      </c>
      <c r="N106" t="s">
        <v>26</v>
      </c>
      <c r="O106" t="s">
        <v>37</v>
      </c>
      <c r="P106" t="s">
        <v>32</v>
      </c>
      <c r="Q106" t="s">
        <v>25</v>
      </c>
      <c r="R106" t="s">
        <v>39</v>
      </c>
      <c r="S106">
        <v>47.79</v>
      </c>
      <c r="T106">
        <v>6438.77</v>
      </c>
      <c r="U106">
        <v>44272</v>
      </c>
      <c r="V106" t="s">
        <v>25</v>
      </c>
      <c r="W106" t="s">
        <v>30</v>
      </c>
    </row>
    <row r="107" spans="1:23" x14ac:dyDescent="0.35">
      <c r="A107">
        <v>13132</v>
      </c>
      <c r="B107" t="s">
        <v>34</v>
      </c>
      <c r="C107">
        <v>0</v>
      </c>
      <c r="D107" t="s">
        <v>25</v>
      </c>
      <c r="E107" t="s">
        <v>26</v>
      </c>
      <c r="F107">
        <v>50</v>
      </c>
      <c r="G107" t="s">
        <v>25</v>
      </c>
      <c r="H107" t="s">
        <v>47</v>
      </c>
      <c r="I107" t="s">
        <v>40</v>
      </c>
      <c r="J107" t="s">
        <v>37</v>
      </c>
      <c r="K107" t="s">
        <v>25</v>
      </c>
      <c r="L107" t="s">
        <v>37</v>
      </c>
      <c r="M107" t="s">
        <v>26</v>
      </c>
      <c r="N107" t="s">
        <v>38</v>
      </c>
      <c r="O107" t="s">
        <v>25</v>
      </c>
      <c r="P107" t="s">
        <v>32</v>
      </c>
      <c r="Q107" t="s">
        <v>26</v>
      </c>
      <c r="R107" t="s">
        <v>49</v>
      </c>
      <c r="S107">
        <v>98.56</v>
      </c>
      <c r="T107">
        <v>7446.62</v>
      </c>
      <c r="U107">
        <v>44695</v>
      </c>
      <c r="V107" t="s">
        <v>25</v>
      </c>
      <c r="W107" t="s">
        <v>30</v>
      </c>
    </row>
    <row r="108" spans="1:23" x14ac:dyDescent="0.35">
      <c r="A108">
        <v>5044</v>
      </c>
      <c r="B108" t="s">
        <v>31</v>
      </c>
      <c r="C108">
        <v>0</v>
      </c>
      <c r="D108" t="s">
        <v>26</v>
      </c>
      <c r="E108" t="s">
        <v>25</v>
      </c>
      <c r="F108">
        <v>20</v>
      </c>
      <c r="G108" t="s">
        <v>26</v>
      </c>
      <c r="H108" t="s">
        <v>25</v>
      </c>
      <c r="I108" t="s">
        <v>40</v>
      </c>
      <c r="J108" t="s">
        <v>26</v>
      </c>
      <c r="K108" t="s">
        <v>25</v>
      </c>
      <c r="L108" t="s">
        <v>37</v>
      </c>
      <c r="M108" t="s">
        <v>26</v>
      </c>
      <c r="N108" t="s">
        <v>36</v>
      </c>
      <c r="O108" t="s">
        <v>25</v>
      </c>
      <c r="P108" t="s">
        <v>41</v>
      </c>
      <c r="Q108" t="s">
        <v>25</v>
      </c>
      <c r="R108" t="s">
        <v>39</v>
      </c>
      <c r="S108">
        <v>117</v>
      </c>
      <c r="T108">
        <v>4700.6099999999997</v>
      </c>
      <c r="U108">
        <v>44516</v>
      </c>
      <c r="V108" t="s">
        <v>25</v>
      </c>
      <c r="W108" t="s">
        <v>30</v>
      </c>
    </row>
    <row r="109" spans="1:23" x14ac:dyDescent="0.35">
      <c r="A109">
        <v>12903</v>
      </c>
      <c r="B109" t="s">
        <v>31</v>
      </c>
      <c r="C109">
        <v>0</v>
      </c>
      <c r="D109" t="s">
        <v>26</v>
      </c>
      <c r="E109" t="s">
        <v>25</v>
      </c>
      <c r="F109">
        <v>41</v>
      </c>
      <c r="G109" t="s">
        <v>26</v>
      </c>
      <c r="H109" t="s">
        <v>26</v>
      </c>
      <c r="I109" t="s">
        <v>27</v>
      </c>
      <c r="J109" t="s">
        <v>37</v>
      </c>
      <c r="K109" t="s">
        <v>37</v>
      </c>
      <c r="L109" t="s">
        <v>37</v>
      </c>
      <c r="M109" t="s">
        <v>25</v>
      </c>
      <c r="N109" t="s">
        <v>26</v>
      </c>
      <c r="O109" t="s">
        <v>37</v>
      </c>
      <c r="P109" t="s">
        <v>32</v>
      </c>
      <c r="Q109" t="s">
        <v>26</v>
      </c>
      <c r="R109" t="s">
        <v>44</v>
      </c>
      <c r="S109">
        <v>64.27</v>
      </c>
      <c r="T109">
        <v>1327.55</v>
      </c>
      <c r="U109">
        <v>44411</v>
      </c>
      <c r="V109" t="s">
        <v>25</v>
      </c>
      <c r="W109" t="s">
        <v>30</v>
      </c>
    </row>
    <row r="110" spans="1:23" x14ac:dyDescent="0.35">
      <c r="A110">
        <v>16356</v>
      </c>
      <c r="B110" t="s">
        <v>31</v>
      </c>
      <c r="C110">
        <v>0</v>
      </c>
      <c r="D110" t="s">
        <v>25</v>
      </c>
      <c r="E110" t="s">
        <v>25</v>
      </c>
      <c r="F110">
        <v>24</v>
      </c>
      <c r="G110" t="s">
        <v>25</v>
      </c>
      <c r="H110" t="s">
        <v>26</v>
      </c>
      <c r="I110" t="s">
        <v>27</v>
      </c>
      <c r="J110" t="s">
        <v>38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28</v>
      </c>
      <c r="Q110" t="s">
        <v>26</v>
      </c>
      <c r="R110" t="s">
        <v>29</v>
      </c>
      <c r="S110">
        <v>65.260000000000005</v>
      </c>
      <c r="T110">
        <v>903.2</v>
      </c>
      <c r="U110">
        <v>45119</v>
      </c>
      <c r="V110" t="s">
        <v>25</v>
      </c>
      <c r="W110" t="s">
        <v>30</v>
      </c>
    </row>
    <row r="111" spans="1:23" x14ac:dyDescent="0.35">
      <c r="A111">
        <v>17235</v>
      </c>
      <c r="B111" t="s">
        <v>31</v>
      </c>
      <c r="C111">
        <v>0</v>
      </c>
      <c r="D111" t="s">
        <v>26</v>
      </c>
      <c r="E111" t="s">
        <v>26</v>
      </c>
      <c r="F111">
        <v>20</v>
      </c>
      <c r="G111" t="s">
        <v>36</v>
      </c>
      <c r="H111" t="s">
        <v>25</v>
      </c>
      <c r="I111" t="s">
        <v>52</v>
      </c>
      <c r="J111" t="s">
        <v>36</v>
      </c>
      <c r="K111" t="s">
        <v>25</v>
      </c>
      <c r="L111" t="s">
        <v>26</v>
      </c>
      <c r="M111" t="s">
        <v>25</v>
      </c>
      <c r="N111" t="s">
        <v>25</v>
      </c>
      <c r="O111" t="s">
        <v>25</v>
      </c>
      <c r="P111" t="s">
        <v>45</v>
      </c>
      <c r="Q111" t="s">
        <v>26</v>
      </c>
      <c r="R111" t="s">
        <v>39</v>
      </c>
      <c r="S111">
        <v>46.89</v>
      </c>
      <c r="T111">
        <v>2747.02</v>
      </c>
      <c r="U111">
        <v>43918</v>
      </c>
      <c r="V111" t="s">
        <v>25</v>
      </c>
      <c r="W111" t="s">
        <v>30</v>
      </c>
    </row>
    <row r="112" spans="1:23" x14ac:dyDescent="0.35">
      <c r="A112">
        <v>19273</v>
      </c>
      <c r="B112" t="s">
        <v>31</v>
      </c>
      <c r="C112">
        <v>0</v>
      </c>
      <c r="D112" t="s">
        <v>25</v>
      </c>
      <c r="E112" t="s">
        <v>25</v>
      </c>
      <c r="F112">
        <v>34</v>
      </c>
      <c r="G112" t="s">
        <v>26</v>
      </c>
      <c r="H112" t="s">
        <v>26</v>
      </c>
      <c r="I112" t="s">
        <v>52</v>
      </c>
      <c r="J112" t="s">
        <v>37</v>
      </c>
      <c r="K112" t="s">
        <v>37</v>
      </c>
      <c r="L112" t="s">
        <v>25</v>
      </c>
      <c r="M112" t="s">
        <v>37</v>
      </c>
      <c r="N112" t="s">
        <v>26</v>
      </c>
      <c r="O112" t="s">
        <v>37</v>
      </c>
      <c r="P112" t="s">
        <v>32</v>
      </c>
      <c r="Q112" t="s">
        <v>25</v>
      </c>
      <c r="R112" t="s">
        <v>44</v>
      </c>
      <c r="S112">
        <v>71.819999999999993</v>
      </c>
      <c r="T112">
        <v>159.6</v>
      </c>
      <c r="U112">
        <v>45624</v>
      </c>
      <c r="V112" t="s">
        <v>25</v>
      </c>
      <c r="W112" t="s">
        <v>30</v>
      </c>
    </row>
    <row r="113" spans="1:23" x14ac:dyDescent="0.35">
      <c r="A113">
        <v>12051</v>
      </c>
      <c r="B113" t="s">
        <v>34</v>
      </c>
      <c r="C113">
        <v>0</v>
      </c>
      <c r="D113" t="s">
        <v>26</v>
      </c>
      <c r="E113" t="s">
        <v>26</v>
      </c>
      <c r="F113">
        <v>63</v>
      </c>
      <c r="G113" t="s">
        <v>26</v>
      </c>
      <c r="H113" t="s">
        <v>47</v>
      </c>
      <c r="I113" t="s">
        <v>27</v>
      </c>
      <c r="J113" t="s">
        <v>26</v>
      </c>
      <c r="K113" t="s">
        <v>25</v>
      </c>
      <c r="L113" t="s">
        <v>25</v>
      </c>
      <c r="M113" t="s">
        <v>26</v>
      </c>
      <c r="N113" t="s">
        <v>36</v>
      </c>
      <c r="O113" t="s">
        <v>26</v>
      </c>
      <c r="P113" t="s">
        <v>45</v>
      </c>
      <c r="Q113" t="s">
        <v>26</v>
      </c>
      <c r="R113" t="s">
        <v>39</v>
      </c>
      <c r="S113">
        <v>25.25</v>
      </c>
      <c r="T113">
        <v>7559.64</v>
      </c>
      <c r="U113">
        <v>45471</v>
      </c>
      <c r="V113" t="s">
        <v>25</v>
      </c>
      <c r="W113" t="s">
        <v>50</v>
      </c>
    </row>
    <row r="114" spans="1:23" x14ac:dyDescent="0.35">
      <c r="A114">
        <v>14116</v>
      </c>
      <c r="B114" t="s">
        <v>31</v>
      </c>
      <c r="C114">
        <v>0</v>
      </c>
      <c r="D114" t="s">
        <v>26</v>
      </c>
      <c r="E114" t="s">
        <v>25</v>
      </c>
      <c r="F114">
        <v>11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25</v>
      </c>
      <c r="M114" t="s">
        <v>26</v>
      </c>
      <c r="N114" t="s">
        <v>25</v>
      </c>
      <c r="O114" t="s">
        <v>26</v>
      </c>
      <c r="P114" t="s">
        <v>32</v>
      </c>
      <c r="Q114" t="s">
        <v>26</v>
      </c>
      <c r="R114" t="s">
        <v>49</v>
      </c>
      <c r="S114">
        <v>651.96546734562696</v>
      </c>
      <c r="T114">
        <v>653.37</v>
      </c>
      <c r="U114">
        <v>45485</v>
      </c>
      <c r="V114" t="s">
        <v>25</v>
      </c>
      <c r="W114" t="s">
        <v>30</v>
      </c>
    </row>
    <row r="115" spans="1:23" x14ac:dyDescent="0.35">
      <c r="A115">
        <v>6305</v>
      </c>
      <c r="B115" t="s">
        <v>31</v>
      </c>
      <c r="C115">
        <v>1</v>
      </c>
      <c r="D115" t="s">
        <v>26</v>
      </c>
      <c r="E115" t="s">
        <v>25</v>
      </c>
      <c r="F115">
        <v>60</v>
      </c>
      <c r="G115" t="s">
        <v>26</v>
      </c>
      <c r="H115" t="s">
        <v>25</v>
      </c>
      <c r="I115" t="s">
        <v>27</v>
      </c>
      <c r="J115" t="s">
        <v>38</v>
      </c>
      <c r="K115" t="s">
        <v>25</v>
      </c>
      <c r="L115" t="s">
        <v>26</v>
      </c>
      <c r="M115" t="s">
        <v>25</v>
      </c>
      <c r="N115" t="s">
        <v>38</v>
      </c>
      <c r="O115" t="s">
        <v>26</v>
      </c>
      <c r="P115" t="s">
        <v>32</v>
      </c>
      <c r="Q115" t="s">
        <v>25</v>
      </c>
      <c r="R115" t="s">
        <v>39</v>
      </c>
      <c r="T115">
        <v>2172.1</v>
      </c>
      <c r="U115">
        <v>45487</v>
      </c>
      <c r="V115" t="s">
        <v>25</v>
      </c>
      <c r="W115" t="s">
        <v>30</v>
      </c>
    </row>
    <row r="116" spans="1:23" x14ac:dyDescent="0.35">
      <c r="A116">
        <v>13659</v>
      </c>
      <c r="B116" t="s">
        <v>31</v>
      </c>
      <c r="C116">
        <v>0</v>
      </c>
      <c r="D116" t="s">
        <v>26</v>
      </c>
      <c r="E116" t="s">
        <v>25</v>
      </c>
      <c r="F116">
        <v>27</v>
      </c>
      <c r="G116" t="s">
        <v>26</v>
      </c>
      <c r="H116" t="s">
        <v>25</v>
      </c>
      <c r="I116" t="s">
        <v>25</v>
      </c>
      <c r="J116" t="s">
        <v>25</v>
      </c>
      <c r="K116" t="s">
        <v>36</v>
      </c>
      <c r="L116" t="s">
        <v>25</v>
      </c>
      <c r="M116" t="s">
        <v>37</v>
      </c>
      <c r="N116" t="s">
        <v>25</v>
      </c>
      <c r="O116" t="s">
        <v>37</v>
      </c>
      <c r="P116" t="s">
        <v>28</v>
      </c>
      <c r="Q116" t="s">
        <v>26</v>
      </c>
      <c r="R116" t="s">
        <v>49</v>
      </c>
      <c r="S116">
        <v>116.36</v>
      </c>
      <c r="T116">
        <v>6230.15</v>
      </c>
      <c r="U116">
        <v>45613</v>
      </c>
      <c r="V116" t="s">
        <v>25</v>
      </c>
      <c r="W116" t="s">
        <v>30</v>
      </c>
    </row>
    <row r="117" spans="1:23" x14ac:dyDescent="0.35">
      <c r="A117">
        <v>14579</v>
      </c>
      <c r="B117" t="s">
        <v>1</v>
      </c>
      <c r="C117">
        <v>0</v>
      </c>
      <c r="D117" t="s">
        <v>25</v>
      </c>
      <c r="E117" t="s">
        <v>25</v>
      </c>
      <c r="F117">
        <v>23</v>
      </c>
      <c r="G117" t="s">
        <v>26</v>
      </c>
      <c r="H117" t="s">
        <v>26</v>
      </c>
      <c r="I117" t="s">
        <v>25</v>
      </c>
      <c r="J117" t="s">
        <v>26</v>
      </c>
      <c r="K117" t="s">
        <v>26</v>
      </c>
      <c r="L117" t="s">
        <v>26</v>
      </c>
      <c r="M117" t="s">
        <v>37</v>
      </c>
      <c r="N117" t="s">
        <v>25</v>
      </c>
      <c r="O117" t="s">
        <v>26</v>
      </c>
      <c r="P117" t="s">
        <v>28</v>
      </c>
      <c r="Q117" t="s">
        <v>26</v>
      </c>
      <c r="R117" t="s">
        <v>49</v>
      </c>
      <c r="S117">
        <v>56.73</v>
      </c>
      <c r="T117">
        <v>4744.26</v>
      </c>
      <c r="U117">
        <v>44297</v>
      </c>
      <c r="V117" t="s">
        <v>25</v>
      </c>
      <c r="W117" t="s">
        <v>50</v>
      </c>
    </row>
    <row r="118" spans="1:23" x14ac:dyDescent="0.35">
      <c r="A118">
        <v>11480</v>
      </c>
      <c r="B118" t="s">
        <v>34</v>
      </c>
      <c r="C118">
        <v>0</v>
      </c>
      <c r="D118" t="s">
        <v>26</v>
      </c>
      <c r="E118" t="s">
        <v>25</v>
      </c>
      <c r="F118">
        <v>40</v>
      </c>
      <c r="G118" t="s">
        <v>25</v>
      </c>
      <c r="H118" t="s">
        <v>38</v>
      </c>
      <c r="I118" t="s">
        <v>35</v>
      </c>
      <c r="J118" t="s">
        <v>26</v>
      </c>
      <c r="K118" t="s">
        <v>25</v>
      </c>
      <c r="L118" t="s">
        <v>25</v>
      </c>
      <c r="M118" t="s">
        <v>26</v>
      </c>
      <c r="N118" t="s">
        <v>26</v>
      </c>
      <c r="O118" t="s">
        <v>38</v>
      </c>
      <c r="P118" t="s">
        <v>32</v>
      </c>
      <c r="Q118" t="s">
        <v>25</v>
      </c>
      <c r="R118" t="s">
        <v>33</v>
      </c>
      <c r="S118">
        <v>53.47</v>
      </c>
      <c r="T118">
        <v>6412</v>
      </c>
      <c r="U118">
        <v>44954</v>
      </c>
      <c r="V118" t="s">
        <v>25</v>
      </c>
      <c r="W118" t="s">
        <v>30</v>
      </c>
    </row>
    <row r="119" spans="1:23" x14ac:dyDescent="0.35">
      <c r="A119">
        <v>17032</v>
      </c>
      <c r="B119" t="s">
        <v>34</v>
      </c>
      <c r="C119">
        <v>0</v>
      </c>
      <c r="D119" t="s">
        <v>26</v>
      </c>
      <c r="E119" t="s">
        <v>25</v>
      </c>
      <c r="F119">
        <v>56</v>
      </c>
      <c r="G119" t="s">
        <v>26</v>
      </c>
      <c r="H119" t="s">
        <v>36</v>
      </c>
      <c r="I119" t="s">
        <v>35</v>
      </c>
      <c r="J119" t="s">
        <v>25</v>
      </c>
      <c r="K119" t="s">
        <v>26</v>
      </c>
      <c r="L119" t="s">
        <v>25</v>
      </c>
      <c r="M119" t="s">
        <v>25</v>
      </c>
      <c r="N119" t="s">
        <v>37</v>
      </c>
      <c r="O119" t="s">
        <v>37</v>
      </c>
      <c r="P119" t="s">
        <v>32</v>
      </c>
      <c r="Q119" t="s">
        <v>26</v>
      </c>
      <c r="R119" t="s">
        <v>33</v>
      </c>
      <c r="S119">
        <v>23.02</v>
      </c>
      <c r="T119">
        <v>1438.21</v>
      </c>
      <c r="U119">
        <v>44660</v>
      </c>
      <c r="V119" t="s">
        <v>25</v>
      </c>
      <c r="W119" t="s">
        <v>30</v>
      </c>
    </row>
    <row r="120" spans="1:23" x14ac:dyDescent="0.35">
      <c r="A120">
        <v>1857</v>
      </c>
      <c r="B120" t="s">
        <v>34</v>
      </c>
      <c r="C120">
        <v>0</v>
      </c>
      <c r="D120" t="s">
        <v>25</v>
      </c>
      <c r="E120" t="s">
        <v>25</v>
      </c>
      <c r="F120">
        <v>26</v>
      </c>
      <c r="G120" t="s">
        <v>36</v>
      </c>
      <c r="H120" t="s">
        <v>26</v>
      </c>
      <c r="I120" t="s">
        <v>27</v>
      </c>
      <c r="J120" t="s">
        <v>25</v>
      </c>
      <c r="K120" t="s">
        <v>36</v>
      </c>
      <c r="L120" t="s">
        <v>25</v>
      </c>
      <c r="M120" t="s">
        <v>37</v>
      </c>
      <c r="N120" t="s">
        <v>26</v>
      </c>
      <c r="O120" t="s">
        <v>25</v>
      </c>
      <c r="P120" t="s">
        <v>45</v>
      </c>
      <c r="Q120" t="s">
        <v>25</v>
      </c>
      <c r="R120" t="s">
        <v>49</v>
      </c>
      <c r="S120">
        <v>26.86</v>
      </c>
      <c r="T120">
        <v>3959.5</v>
      </c>
      <c r="U120">
        <v>45010</v>
      </c>
      <c r="V120" t="s">
        <v>25</v>
      </c>
      <c r="W120" t="s">
        <v>30</v>
      </c>
    </row>
    <row r="121" spans="1:23" x14ac:dyDescent="0.35">
      <c r="A121">
        <v>7062</v>
      </c>
      <c r="B121" t="s">
        <v>34</v>
      </c>
      <c r="C121">
        <v>0</v>
      </c>
      <c r="D121" t="s">
        <v>25</v>
      </c>
      <c r="E121" t="s">
        <v>26</v>
      </c>
      <c r="F121">
        <v>15</v>
      </c>
      <c r="G121" t="s">
        <v>26</v>
      </c>
      <c r="H121" t="s">
        <v>26</v>
      </c>
      <c r="I121" t="s">
        <v>25</v>
      </c>
      <c r="J121" t="s">
        <v>36</v>
      </c>
      <c r="K121" t="s">
        <v>25</v>
      </c>
      <c r="L121" t="s">
        <v>37</v>
      </c>
      <c r="M121" t="s">
        <v>38</v>
      </c>
      <c r="N121" t="s">
        <v>25</v>
      </c>
      <c r="O121" t="s">
        <v>26</v>
      </c>
      <c r="P121" t="s">
        <v>32</v>
      </c>
      <c r="Q121" t="s">
        <v>26</v>
      </c>
      <c r="R121" t="s">
        <v>29</v>
      </c>
      <c r="S121">
        <v>93.58</v>
      </c>
      <c r="T121">
        <v>1059.42</v>
      </c>
      <c r="U121">
        <v>44045</v>
      </c>
      <c r="V121" t="s">
        <v>25</v>
      </c>
      <c r="W121" t="s">
        <v>30</v>
      </c>
    </row>
    <row r="122" spans="1:23" x14ac:dyDescent="0.35">
      <c r="A122">
        <v>13224</v>
      </c>
      <c r="B122" t="s">
        <v>31</v>
      </c>
      <c r="C122">
        <v>0</v>
      </c>
      <c r="D122" t="s">
        <v>25</v>
      </c>
      <c r="E122" t="s">
        <v>25</v>
      </c>
      <c r="F122">
        <v>71</v>
      </c>
      <c r="G122" t="s">
        <v>26</v>
      </c>
      <c r="H122" t="s">
        <v>26</v>
      </c>
      <c r="I122" t="s">
        <v>25</v>
      </c>
      <c r="J122" t="s">
        <v>25</v>
      </c>
      <c r="K122" t="s">
        <v>26</v>
      </c>
      <c r="L122" t="s">
        <v>37</v>
      </c>
      <c r="M122" t="s">
        <v>25</v>
      </c>
      <c r="N122" t="s">
        <v>37</v>
      </c>
      <c r="O122" t="s">
        <v>37</v>
      </c>
      <c r="P122" t="s">
        <v>32</v>
      </c>
      <c r="Q122" t="s">
        <v>26</v>
      </c>
      <c r="R122" t="s">
        <v>43</v>
      </c>
      <c r="S122">
        <v>29.44</v>
      </c>
      <c r="T122">
        <v>5423.96</v>
      </c>
      <c r="U122">
        <v>44790</v>
      </c>
      <c r="V122" t="s">
        <v>25</v>
      </c>
      <c r="W122" t="s">
        <v>30</v>
      </c>
    </row>
    <row r="123" spans="1:23" x14ac:dyDescent="0.35">
      <c r="A123">
        <v>16615</v>
      </c>
      <c r="B123" t="s">
        <v>46</v>
      </c>
      <c r="C123" t="s">
        <v>25</v>
      </c>
      <c r="D123" t="s">
        <v>25</v>
      </c>
      <c r="E123" t="s">
        <v>25</v>
      </c>
      <c r="F123">
        <v>32</v>
      </c>
      <c r="G123" t="s">
        <v>26</v>
      </c>
      <c r="H123" t="s">
        <v>25</v>
      </c>
      <c r="I123" t="s">
        <v>40</v>
      </c>
      <c r="J123" t="s">
        <v>26</v>
      </c>
      <c r="K123" t="s">
        <v>25</v>
      </c>
      <c r="L123" t="s">
        <v>37</v>
      </c>
      <c r="M123" t="s">
        <v>36</v>
      </c>
      <c r="N123" t="s">
        <v>26</v>
      </c>
      <c r="O123" t="s">
        <v>26</v>
      </c>
      <c r="P123" t="s">
        <v>41</v>
      </c>
      <c r="Q123" t="s">
        <v>25</v>
      </c>
      <c r="R123" t="s">
        <v>29</v>
      </c>
      <c r="T123">
        <v>3201.16</v>
      </c>
      <c r="U123">
        <v>45177</v>
      </c>
      <c r="V123" t="s">
        <v>25</v>
      </c>
      <c r="W123" t="s">
        <v>30</v>
      </c>
    </row>
    <row r="124" spans="1:23" x14ac:dyDescent="0.35">
      <c r="A124">
        <v>7897</v>
      </c>
      <c r="B124" t="s">
        <v>51</v>
      </c>
      <c r="C124">
        <v>0</v>
      </c>
      <c r="D124" t="s">
        <v>36</v>
      </c>
      <c r="E124" t="s">
        <v>38</v>
      </c>
      <c r="F124">
        <v>37</v>
      </c>
      <c r="G124" t="s">
        <v>26</v>
      </c>
      <c r="H124" t="s">
        <v>26</v>
      </c>
      <c r="I124" t="s">
        <v>27</v>
      </c>
      <c r="J124" t="s">
        <v>26</v>
      </c>
      <c r="K124" t="s">
        <v>37</v>
      </c>
      <c r="L124" t="s">
        <v>37</v>
      </c>
      <c r="M124" t="s">
        <v>25</v>
      </c>
      <c r="N124" t="s">
        <v>26</v>
      </c>
      <c r="O124" t="s">
        <v>26</v>
      </c>
      <c r="P124" t="s">
        <v>28</v>
      </c>
      <c r="Q124" t="s">
        <v>38</v>
      </c>
      <c r="R124" t="s">
        <v>39</v>
      </c>
      <c r="S124">
        <v>41.51</v>
      </c>
      <c r="T124">
        <v>4882.2</v>
      </c>
      <c r="U124">
        <v>44510</v>
      </c>
      <c r="V124" t="s">
        <v>25</v>
      </c>
      <c r="W124" t="s">
        <v>30</v>
      </c>
    </row>
    <row r="125" spans="1:23" x14ac:dyDescent="0.35">
      <c r="A125">
        <v>13141</v>
      </c>
      <c r="B125" t="s">
        <v>31</v>
      </c>
      <c r="C125">
        <v>0</v>
      </c>
      <c r="D125" t="s">
        <v>26</v>
      </c>
      <c r="E125" t="s">
        <v>26</v>
      </c>
      <c r="F125">
        <v>53</v>
      </c>
      <c r="G125" t="s">
        <v>26</v>
      </c>
      <c r="H125" t="s">
        <v>26</v>
      </c>
      <c r="I125" t="s">
        <v>35</v>
      </c>
      <c r="J125" t="s">
        <v>25</v>
      </c>
      <c r="K125" t="s">
        <v>25</v>
      </c>
      <c r="L125" t="s">
        <v>26</v>
      </c>
      <c r="M125" t="s">
        <v>36</v>
      </c>
      <c r="N125" t="s">
        <v>26</v>
      </c>
      <c r="O125" t="s">
        <v>25</v>
      </c>
      <c r="P125" t="s">
        <v>32</v>
      </c>
      <c r="Q125" t="s">
        <v>26</v>
      </c>
      <c r="R125" t="s">
        <v>33</v>
      </c>
      <c r="S125">
        <v>22.28</v>
      </c>
      <c r="T125">
        <v>7732.01</v>
      </c>
      <c r="U125">
        <v>44796</v>
      </c>
      <c r="V125" t="s">
        <v>25</v>
      </c>
      <c r="W125" t="s">
        <v>30</v>
      </c>
    </row>
    <row r="126" spans="1:23" x14ac:dyDescent="0.35">
      <c r="A126">
        <v>13799</v>
      </c>
      <c r="B126" t="s">
        <v>31</v>
      </c>
      <c r="C126">
        <v>1</v>
      </c>
      <c r="D126" t="s">
        <v>25</v>
      </c>
      <c r="E126" t="s">
        <v>25</v>
      </c>
      <c r="F126">
        <v>8</v>
      </c>
      <c r="G126" t="s">
        <v>38</v>
      </c>
      <c r="H126" t="s">
        <v>36</v>
      </c>
      <c r="I126" t="s">
        <v>35</v>
      </c>
      <c r="J126" t="s">
        <v>26</v>
      </c>
      <c r="K126" t="s">
        <v>37</v>
      </c>
      <c r="L126" t="s">
        <v>26</v>
      </c>
      <c r="M126" t="s">
        <v>25</v>
      </c>
      <c r="N126" t="s">
        <v>26</v>
      </c>
      <c r="O126" t="s">
        <v>26</v>
      </c>
      <c r="P126" t="s">
        <v>41</v>
      </c>
      <c r="Q126" t="s">
        <v>25</v>
      </c>
      <c r="R126" t="s">
        <v>29</v>
      </c>
      <c r="S126">
        <v>74.75</v>
      </c>
      <c r="T126">
        <v>2111.2600000000002</v>
      </c>
      <c r="U126">
        <v>44486</v>
      </c>
      <c r="V126" t="s">
        <v>25</v>
      </c>
      <c r="W126" t="s">
        <v>30</v>
      </c>
    </row>
    <row r="127" spans="1:23" x14ac:dyDescent="0.35">
      <c r="A127">
        <v>16747</v>
      </c>
      <c r="B127" t="s">
        <v>31</v>
      </c>
      <c r="C127">
        <v>0</v>
      </c>
      <c r="D127" t="s">
        <v>25</v>
      </c>
      <c r="E127" t="s">
        <v>26</v>
      </c>
      <c r="F127">
        <v>30</v>
      </c>
      <c r="G127" t="s">
        <v>26</v>
      </c>
      <c r="H127" t="s">
        <v>38</v>
      </c>
      <c r="I127" t="s">
        <v>27</v>
      </c>
      <c r="J127" t="s">
        <v>26</v>
      </c>
      <c r="K127" t="s">
        <v>38</v>
      </c>
      <c r="L127" t="s">
        <v>26</v>
      </c>
      <c r="M127" t="s">
        <v>37</v>
      </c>
      <c r="N127" t="s">
        <v>25</v>
      </c>
      <c r="O127" t="s">
        <v>37</v>
      </c>
      <c r="P127" t="s">
        <v>28</v>
      </c>
      <c r="Q127" t="s">
        <v>26</v>
      </c>
      <c r="R127" t="s">
        <v>39</v>
      </c>
      <c r="T127">
        <v>2212.0300000000002</v>
      </c>
      <c r="U127">
        <v>43874</v>
      </c>
      <c r="V127" t="s">
        <v>25</v>
      </c>
      <c r="W127" t="s">
        <v>30</v>
      </c>
    </row>
    <row r="128" spans="1:23" x14ac:dyDescent="0.35">
      <c r="A128">
        <v>4617</v>
      </c>
      <c r="B128" t="s">
        <v>31</v>
      </c>
      <c r="C128">
        <v>0</v>
      </c>
      <c r="D128" t="s">
        <v>25</v>
      </c>
      <c r="E128" t="s">
        <v>26</v>
      </c>
      <c r="F128">
        <v>54</v>
      </c>
      <c r="G128" t="s">
        <v>26</v>
      </c>
      <c r="H128" t="s">
        <v>26</v>
      </c>
      <c r="I128" t="s">
        <v>27</v>
      </c>
      <c r="J128" t="s">
        <v>25</v>
      </c>
      <c r="K128" t="s">
        <v>26</v>
      </c>
      <c r="L128" t="s">
        <v>26</v>
      </c>
      <c r="M128" t="s">
        <v>25</v>
      </c>
      <c r="N128" t="s">
        <v>38</v>
      </c>
      <c r="O128" t="s">
        <v>37</v>
      </c>
      <c r="P128" t="s">
        <v>48</v>
      </c>
      <c r="Q128" t="s">
        <v>26</v>
      </c>
      <c r="R128" t="s">
        <v>43</v>
      </c>
      <c r="S128">
        <v>39.56</v>
      </c>
      <c r="T128">
        <v>1101.71</v>
      </c>
      <c r="U128">
        <v>44779</v>
      </c>
      <c r="V128" t="s">
        <v>25</v>
      </c>
      <c r="W128" t="s">
        <v>30</v>
      </c>
    </row>
    <row r="129" spans="1:23" x14ac:dyDescent="0.35">
      <c r="A129">
        <v>11530</v>
      </c>
      <c r="B129" t="s">
        <v>34</v>
      </c>
      <c r="C129">
        <v>0</v>
      </c>
      <c r="D129" t="s">
        <v>25</v>
      </c>
      <c r="E129" t="s">
        <v>25</v>
      </c>
      <c r="F129">
        <v>58</v>
      </c>
      <c r="G129" t="s">
        <v>26</v>
      </c>
      <c r="H129" t="s">
        <v>25</v>
      </c>
      <c r="I129" t="s">
        <v>35</v>
      </c>
      <c r="J129" t="s">
        <v>26</v>
      </c>
      <c r="K129" t="s">
        <v>26</v>
      </c>
      <c r="L129" t="s">
        <v>37</v>
      </c>
      <c r="M129" t="s">
        <v>37</v>
      </c>
      <c r="N129" t="s">
        <v>25</v>
      </c>
      <c r="O129" t="s">
        <v>26</v>
      </c>
      <c r="P129" t="s">
        <v>41</v>
      </c>
      <c r="Q129" t="s">
        <v>26</v>
      </c>
      <c r="R129" t="s">
        <v>33</v>
      </c>
      <c r="T129">
        <v>7862.65</v>
      </c>
      <c r="U129">
        <v>43902</v>
      </c>
      <c r="V129" t="s">
        <v>25</v>
      </c>
      <c r="W129" t="s">
        <v>30</v>
      </c>
    </row>
    <row r="130" spans="1:23" x14ac:dyDescent="0.35">
      <c r="A130">
        <v>14990</v>
      </c>
      <c r="B130" t="s">
        <v>34</v>
      </c>
      <c r="C130">
        <v>1</v>
      </c>
      <c r="D130" t="s">
        <v>26</v>
      </c>
      <c r="E130" t="s">
        <v>25</v>
      </c>
      <c r="F130">
        <v>23</v>
      </c>
      <c r="G130" t="s">
        <v>26</v>
      </c>
      <c r="H130" t="s">
        <v>26</v>
      </c>
      <c r="I130" t="s">
        <v>27</v>
      </c>
      <c r="J130" t="s">
        <v>25</v>
      </c>
      <c r="K130" t="s">
        <v>25</v>
      </c>
      <c r="L130" t="s">
        <v>26</v>
      </c>
      <c r="M130" t="s">
        <v>37</v>
      </c>
      <c r="N130" t="s">
        <v>25</v>
      </c>
      <c r="O130" t="s">
        <v>26</v>
      </c>
      <c r="P130" t="s">
        <v>32</v>
      </c>
      <c r="Q130" t="s">
        <v>26</v>
      </c>
      <c r="R130" t="s">
        <v>33</v>
      </c>
      <c r="S130">
        <v>36.979999999999997</v>
      </c>
      <c r="T130">
        <v>4838.1899999999996</v>
      </c>
      <c r="U130">
        <v>44346</v>
      </c>
      <c r="V130" t="s">
        <v>26</v>
      </c>
      <c r="W130" t="s">
        <v>30</v>
      </c>
    </row>
    <row r="131" spans="1:23" x14ac:dyDescent="0.35">
      <c r="A131">
        <v>12694</v>
      </c>
      <c r="B131" t="s">
        <v>0</v>
      </c>
      <c r="C131">
        <v>0</v>
      </c>
      <c r="D131" t="s">
        <v>26</v>
      </c>
      <c r="E131" t="s">
        <v>25</v>
      </c>
      <c r="F131">
        <v>6</v>
      </c>
      <c r="G131" t="s">
        <v>26</v>
      </c>
      <c r="H131" t="s">
        <v>47</v>
      </c>
      <c r="I131" t="s">
        <v>27</v>
      </c>
      <c r="J131" t="s">
        <v>25</v>
      </c>
      <c r="K131" t="s">
        <v>25</v>
      </c>
      <c r="L131" t="s">
        <v>25</v>
      </c>
      <c r="M131" t="s">
        <v>26</v>
      </c>
      <c r="N131" t="s">
        <v>37</v>
      </c>
      <c r="O131" t="s">
        <v>25</v>
      </c>
      <c r="P131" t="s">
        <v>32</v>
      </c>
      <c r="Q131" t="s">
        <v>26</v>
      </c>
      <c r="R131" t="s">
        <v>33</v>
      </c>
      <c r="S131">
        <v>84.43</v>
      </c>
      <c r="T131">
        <v>3659.72</v>
      </c>
      <c r="U131">
        <v>44200</v>
      </c>
      <c r="V131" t="s">
        <v>25</v>
      </c>
      <c r="W131" t="s">
        <v>30</v>
      </c>
    </row>
    <row r="132" spans="1:23" x14ac:dyDescent="0.35">
      <c r="A132">
        <v>7046</v>
      </c>
      <c r="B132" t="s">
        <v>31</v>
      </c>
      <c r="C132">
        <v>0</v>
      </c>
      <c r="D132" t="s">
        <v>26</v>
      </c>
      <c r="E132" t="s">
        <v>26</v>
      </c>
      <c r="F132">
        <v>55</v>
      </c>
      <c r="G132" t="s">
        <v>26</v>
      </c>
      <c r="H132" t="s">
        <v>47</v>
      </c>
      <c r="I132" t="s">
        <v>27</v>
      </c>
      <c r="J132" t="s">
        <v>37</v>
      </c>
      <c r="K132" t="s">
        <v>25</v>
      </c>
      <c r="L132" t="s">
        <v>25</v>
      </c>
      <c r="M132" t="s">
        <v>37</v>
      </c>
      <c r="N132" t="s">
        <v>26</v>
      </c>
      <c r="O132" t="s">
        <v>25</v>
      </c>
      <c r="P132" t="s">
        <v>28</v>
      </c>
      <c r="Q132" t="s">
        <v>25</v>
      </c>
      <c r="R132" t="s">
        <v>49</v>
      </c>
      <c r="S132">
        <v>36.57</v>
      </c>
      <c r="T132">
        <v>6159.51</v>
      </c>
      <c r="U132">
        <v>45235</v>
      </c>
      <c r="V132" t="s">
        <v>25</v>
      </c>
      <c r="W132" t="s">
        <v>30</v>
      </c>
    </row>
    <row r="133" spans="1:23" x14ac:dyDescent="0.35">
      <c r="A133">
        <v>18306</v>
      </c>
      <c r="B133" t="s">
        <v>34</v>
      </c>
      <c r="C133">
        <v>0</v>
      </c>
      <c r="D133" t="s">
        <v>26</v>
      </c>
      <c r="E133" t="s">
        <v>25</v>
      </c>
      <c r="F133">
        <v>46</v>
      </c>
      <c r="G133" t="s">
        <v>25</v>
      </c>
      <c r="H133" t="s">
        <v>26</v>
      </c>
      <c r="I133" t="s">
        <v>27</v>
      </c>
      <c r="J133" t="s">
        <v>25</v>
      </c>
      <c r="K133" t="s">
        <v>26</v>
      </c>
      <c r="L133" t="s">
        <v>26</v>
      </c>
      <c r="M133" t="s">
        <v>26</v>
      </c>
      <c r="N133" t="s">
        <v>37</v>
      </c>
      <c r="O133" t="s">
        <v>26</v>
      </c>
      <c r="P133" t="s">
        <v>32</v>
      </c>
      <c r="Q133" t="s">
        <v>38</v>
      </c>
      <c r="R133" t="s">
        <v>29</v>
      </c>
      <c r="S133">
        <v>79.180000000000007</v>
      </c>
      <c r="T133">
        <v>5860.86</v>
      </c>
      <c r="U133">
        <v>45221</v>
      </c>
      <c r="V133" t="s">
        <v>25</v>
      </c>
      <c r="W133" t="s">
        <v>30</v>
      </c>
    </row>
    <row r="134" spans="1:23" x14ac:dyDescent="0.35">
      <c r="A134">
        <v>17115</v>
      </c>
      <c r="B134" t="s">
        <v>51</v>
      </c>
      <c r="C134">
        <v>0</v>
      </c>
      <c r="D134" t="s">
        <v>38</v>
      </c>
      <c r="E134" t="s">
        <v>25</v>
      </c>
      <c r="F134">
        <v>14</v>
      </c>
      <c r="G134" t="s">
        <v>26</v>
      </c>
      <c r="H134" t="s">
        <v>26</v>
      </c>
      <c r="I134" t="s">
        <v>27</v>
      </c>
      <c r="J134" t="s">
        <v>26</v>
      </c>
      <c r="K134" t="s">
        <v>26</v>
      </c>
      <c r="L134" t="s">
        <v>26</v>
      </c>
      <c r="M134" t="s">
        <v>37</v>
      </c>
      <c r="N134" t="s">
        <v>37</v>
      </c>
      <c r="O134" t="s">
        <v>26</v>
      </c>
      <c r="P134" t="s">
        <v>48</v>
      </c>
      <c r="Q134" t="s">
        <v>26</v>
      </c>
      <c r="R134" t="s">
        <v>33</v>
      </c>
      <c r="S134">
        <v>119.5</v>
      </c>
      <c r="T134">
        <v>172.05</v>
      </c>
      <c r="U134">
        <v>43907</v>
      </c>
      <c r="V134" t="s">
        <v>25</v>
      </c>
      <c r="W134" t="s">
        <v>30</v>
      </c>
    </row>
    <row r="135" spans="1:23" x14ac:dyDescent="0.35">
      <c r="A135">
        <v>17521</v>
      </c>
      <c r="B135" t="s">
        <v>34</v>
      </c>
      <c r="C135" t="s">
        <v>25</v>
      </c>
      <c r="D135" t="s">
        <v>26</v>
      </c>
      <c r="E135" t="s">
        <v>25</v>
      </c>
      <c r="F135">
        <v>37</v>
      </c>
      <c r="G135" t="s">
        <v>26</v>
      </c>
      <c r="H135" t="s">
        <v>25</v>
      </c>
      <c r="I135" t="s">
        <v>35</v>
      </c>
      <c r="J135" t="s">
        <v>36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45</v>
      </c>
      <c r="Q135" t="s">
        <v>26</v>
      </c>
      <c r="R135" t="s">
        <v>39</v>
      </c>
      <c r="S135">
        <v>75.400000000000006</v>
      </c>
      <c r="T135">
        <v>4141.42</v>
      </c>
      <c r="U135">
        <v>43846</v>
      </c>
      <c r="V135" t="s">
        <v>25</v>
      </c>
      <c r="W135" t="s">
        <v>30</v>
      </c>
    </row>
    <row r="136" spans="1:23" x14ac:dyDescent="0.35">
      <c r="A136">
        <v>8536</v>
      </c>
      <c r="B136" t="s">
        <v>31</v>
      </c>
      <c r="C136">
        <v>0</v>
      </c>
      <c r="D136" t="s">
        <v>25</v>
      </c>
      <c r="E136" t="s">
        <v>25</v>
      </c>
      <c r="F136">
        <v>43</v>
      </c>
      <c r="G136" t="s">
        <v>26</v>
      </c>
      <c r="H136" t="s">
        <v>26</v>
      </c>
      <c r="I136" t="s">
        <v>35</v>
      </c>
      <c r="J136" t="s">
        <v>25</v>
      </c>
      <c r="K136" t="s">
        <v>25</v>
      </c>
      <c r="L136" t="s">
        <v>25</v>
      </c>
      <c r="M136" t="s">
        <v>37</v>
      </c>
      <c r="N136" t="s">
        <v>26</v>
      </c>
      <c r="O136" t="s">
        <v>26</v>
      </c>
      <c r="P136" t="s">
        <v>32</v>
      </c>
      <c r="Q136" t="s">
        <v>26</v>
      </c>
      <c r="R136" t="s">
        <v>33</v>
      </c>
      <c r="S136">
        <v>48.95</v>
      </c>
      <c r="T136">
        <v>519.95000000000005</v>
      </c>
      <c r="U136">
        <v>44892</v>
      </c>
      <c r="V136" t="s">
        <v>26</v>
      </c>
      <c r="W136" t="s">
        <v>30</v>
      </c>
    </row>
    <row r="137" spans="1:23" x14ac:dyDescent="0.35">
      <c r="A137">
        <v>7106</v>
      </c>
      <c r="B137" t="s">
        <v>34</v>
      </c>
      <c r="C137">
        <v>0</v>
      </c>
      <c r="D137" t="s">
        <v>26</v>
      </c>
      <c r="E137" t="s">
        <v>25</v>
      </c>
      <c r="F137">
        <v>40</v>
      </c>
      <c r="G137" t="s">
        <v>26</v>
      </c>
      <c r="H137" t="s">
        <v>26</v>
      </c>
      <c r="I137" t="s">
        <v>35</v>
      </c>
      <c r="J137" t="s">
        <v>25</v>
      </c>
      <c r="K137" t="s">
        <v>37</v>
      </c>
      <c r="L137" t="s">
        <v>26</v>
      </c>
      <c r="M137" t="s">
        <v>25</v>
      </c>
      <c r="N137" t="s">
        <v>25</v>
      </c>
      <c r="O137" t="s">
        <v>26</v>
      </c>
      <c r="P137" t="s">
        <v>41</v>
      </c>
      <c r="Q137" t="s">
        <v>26</v>
      </c>
      <c r="R137" t="s">
        <v>39</v>
      </c>
      <c r="S137">
        <v>80.900000000000006</v>
      </c>
      <c r="T137">
        <v>1764.93</v>
      </c>
      <c r="U137">
        <v>43984</v>
      </c>
      <c r="V137" t="s">
        <v>25</v>
      </c>
      <c r="W137" t="s">
        <v>30</v>
      </c>
    </row>
    <row r="138" spans="1:23" x14ac:dyDescent="0.35">
      <c r="A138">
        <v>13405</v>
      </c>
      <c r="B138" t="s">
        <v>1</v>
      </c>
      <c r="C138">
        <v>0</v>
      </c>
      <c r="D138" t="s">
        <v>26</v>
      </c>
      <c r="E138" t="s">
        <v>25</v>
      </c>
      <c r="F138">
        <v>26</v>
      </c>
      <c r="G138" t="s">
        <v>26</v>
      </c>
      <c r="H138" t="s">
        <v>26</v>
      </c>
      <c r="I138" t="s">
        <v>35</v>
      </c>
      <c r="J138" t="s">
        <v>25</v>
      </c>
      <c r="K138" t="s">
        <v>36</v>
      </c>
      <c r="L138" t="s">
        <v>25</v>
      </c>
      <c r="M138" t="s">
        <v>26</v>
      </c>
      <c r="N138" t="s">
        <v>25</v>
      </c>
      <c r="O138" t="s">
        <v>25</v>
      </c>
      <c r="P138" t="s">
        <v>41</v>
      </c>
      <c r="Q138" t="s">
        <v>25</v>
      </c>
      <c r="R138" t="s">
        <v>39</v>
      </c>
      <c r="T138">
        <v>357.79</v>
      </c>
      <c r="U138">
        <v>44596</v>
      </c>
      <c r="V138" t="s">
        <v>25</v>
      </c>
      <c r="W138" t="s">
        <v>30</v>
      </c>
    </row>
    <row r="139" spans="1:23" x14ac:dyDescent="0.35">
      <c r="A139">
        <v>4003</v>
      </c>
      <c r="B139" t="s">
        <v>34</v>
      </c>
      <c r="C139">
        <v>0</v>
      </c>
      <c r="D139" t="s">
        <v>26</v>
      </c>
      <c r="E139" t="s">
        <v>25</v>
      </c>
      <c r="F139">
        <v>48</v>
      </c>
      <c r="G139" t="s">
        <v>26</v>
      </c>
      <c r="H139" t="s">
        <v>47</v>
      </c>
      <c r="I139" t="s">
        <v>35</v>
      </c>
      <c r="J139" t="s">
        <v>25</v>
      </c>
      <c r="K139" t="s">
        <v>25</v>
      </c>
      <c r="L139" t="s">
        <v>36</v>
      </c>
      <c r="M139" t="s">
        <v>37</v>
      </c>
      <c r="N139" t="s">
        <v>26</v>
      </c>
      <c r="O139" t="s">
        <v>25</v>
      </c>
      <c r="P139" t="s">
        <v>32</v>
      </c>
      <c r="Q139" t="s">
        <v>38</v>
      </c>
      <c r="R139" t="s">
        <v>49</v>
      </c>
      <c r="S139">
        <v>84.7</v>
      </c>
      <c r="T139">
        <v>6026.36</v>
      </c>
      <c r="U139">
        <v>44651</v>
      </c>
      <c r="V139" t="s">
        <v>25</v>
      </c>
      <c r="W139" t="s">
        <v>30</v>
      </c>
    </row>
    <row r="140" spans="1:23" x14ac:dyDescent="0.35">
      <c r="A140">
        <v>4430</v>
      </c>
      <c r="B140" t="s">
        <v>31</v>
      </c>
      <c r="C140">
        <v>0</v>
      </c>
      <c r="D140" t="s">
        <v>26</v>
      </c>
      <c r="E140" t="s">
        <v>25</v>
      </c>
      <c r="F140">
        <v>1</v>
      </c>
      <c r="G140" t="s">
        <v>26</v>
      </c>
      <c r="H140" t="s">
        <v>26</v>
      </c>
      <c r="I140" t="s">
        <v>35</v>
      </c>
      <c r="J140" t="s">
        <v>37</v>
      </c>
      <c r="K140" t="s">
        <v>26</v>
      </c>
      <c r="L140" t="s">
        <v>26</v>
      </c>
      <c r="M140" t="s">
        <v>37</v>
      </c>
      <c r="N140" t="s">
        <v>26</v>
      </c>
      <c r="O140" t="s">
        <v>26</v>
      </c>
      <c r="P140" t="s">
        <v>45</v>
      </c>
      <c r="Q140" t="s">
        <v>25</v>
      </c>
      <c r="R140" t="s">
        <v>29</v>
      </c>
      <c r="S140">
        <v>116.76</v>
      </c>
      <c r="T140">
        <v>729.85</v>
      </c>
      <c r="U140">
        <v>44743</v>
      </c>
      <c r="V140" t="s">
        <v>25</v>
      </c>
      <c r="W140" t="s">
        <v>30</v>
      </c>
    </row>
    <row r="141" spans="1:23" x14ac:dyDescent="0.35">
      <c r="A141">
        <v>14190</v>
      </c>
      <c r="B141" t="s">
        <v>1</v>
      </c>
      <c r="C141">
        <v>0</v>
      </c>
      <c r="D141" t="s">
        <v>25</v>
      </c>
      <c r="E141" t="s">
        <v>26</v>
      </c>
      <c r="F141">
        <v>65</v>
      </c>
      <c r="G141" t="s">
        <v>26</v>
      </c>
      <c r="H141" t="s">
        <v>26</v>
      </c>
      <c r="I141" t="s">
        <v>25</v>
      </c>
      <c r="J141" t="s">
        <v>25</v>
      </c>
      <c r="K141" t="s">
        <v>25</v>
      </c>
      <c r="L141" t="s">
        <v>25</v>
      </c>
      <c r="M141" t="s">
        <v>26</v>
      </c>
      <c r="N141" t="s">
        <v>25</v>
      </c>
      <c r="O141" t="s">
        <v>37</v>
      </c>
      <c r="P141" t="s">
        <v>32</v>
      </c>
      <c r="Q141" t="s">
        <v>25</v>
      </c>
      <c r="R141" t="s">
        <v>39</v>
      </c>
      <c r="S141">
        <v>37.950000000000003</v>
      </c>
      <c r="T141">
        <v>1834.39</v>
      </c>
      <c r="U141">
        <v>45459</v>
      </c>
      <c r="V141" t="s">
        <v>25</v>
      </c>
      <c r="W141" t="s">
        <v>30</v>
      </c>
    </row>
    <row r="142" spans="1:23" x14ac:dyDescent="0.35">
      <c r="A142">
        <v>9716</v>
      </c>
      <c r="B142" t="s">
        <v>51</v>
      </c>
      <c r="C142">
        <v>0</v>
      </c>
      <c r="D142" t="s">
        <v>36</v>
      </c>
      <c r="E142" t="s">
        <v>25</v>
      </c>
      <c r="F142">
        <v>2</v>
      </c>
      <c r="G142" t="s">
        <v>26</v>
      </c>
      <c r="H142" t="s">
        <v>26</v>
      </c>
      <c r="I142" t="s">
        <v>27</v>
      </c>
      <c r="J142" t="s">
        <v>26</v>
      </c>
      <c r="K142" t="s">
        <v>25</v>
      </c>
      <c r="L142" t="s">
        <v>26</v>
      </c>
      <c r="M142" t="s">
        <v>25</v>
      </c>
      <c r="N142" t="s">
        <v>26</v>
      </c>
      <c r="O142" t="s">
        <v>26</v>
      </c>
      <c r="P142" t="s">
        <v>41</v>
      </c>
      <c r="Q142" t="s">
        <v>36</v>
      </c>
      <c r="R142" t="s">
        <v>49</v>
      </c>
      <c r="S142">
        <v>20.82</v>
      </c>
      <c r="T142">
        <v>481.51</v>
      </c>
      <c r="U142">
        <v>45047</v>
      </c>
      <c r="V142" t="s">
        <v>25</v>
      </c>
      <c r="W142" t="s">
        <v>30</v>
      </c>
    </row>
    <row r="143" spans="1:23" x14ac:dyDescent="0.35">
      <c r="A143">
        <v>19493</v>
      </c>
      <c r="B143" t="s">
        <v>31</v>
      </c>
      <c r="C143">
        <v>1</v>
      </c>
      <c r="D143" t="s">
        <v>25</v>
      </c>
      <c r="E143" t="s">
        <v>36</v>
      </c>
      <c r="F143">
        <v>16</v>
      </c>
      <c r="G143" t="s">
        <v>36</v>
      </c>
      <c r="H143" t="s">
        <v>26</v>
      </c>
      <c r="I143" t="s">
        <v>35</v>
      </c>
      <c r="J143" t="s">
        <v>26</v>
      </c>
      <c r="K143" t="s">
        <v>26</v>
      </c>
      <c r="L143" t="s">
        <v>36</v>
      </c>
      <c r="M143" t="s">
        <v>38</v>
      </c>
      <c r="N143" t="s">
        <v>25</v>
      </c>
      <c r="O143" t="s">
        <v>36</v>
      </c>
      <c r="P143" t="s">
        <v>45</v>
      </c>
      <c r="Q143" t="s">
        <v>26</v>
      </c>
      <c r="R143" t="s">
        <v>29</v>
      </c>
      <c r="S143">
        <v>26.27</v>
      </c>
      <c r="T143">
        <v>6361.31</v>
      </c>
      <c r="U143">
        <v>44729</v>
      </c>
      <c r="V143" t="s">
        <v>25</v>
      </c>
      <c r="W143" t="s">
        <v>30</v>
      </c>
    </row>
    <row r="144" spans="1:23" x14ac:dyDescent="0.35">
      <c r="A144">
        <v>7557</v>
      </c>
      <c r="B144" t="s">
        <v>34</v>
      </c>
      <c r="C144" t="s">
        <v>25</v>
      </c>
      <c r="D144" t="s">
        <v>26</v>
      </c>
      <c r="E144" t="s">
        <v>26</v>
      </c>
      <c r="F144">
        <v>60</v>
      </c>
      <c r="G144" t="s">
        <v>26</v>
      </c>
      <c r="H144" t="s">
        <v>26</v>
      </c>
      <c r="I144" t="s">
        <v>27</v>
      </c>
      <c r="J144" t="s">
        <v>26</v>
      </c>
      <c r="K144" t="s">
        <v>25</v>
      </c>
      <c r="L144" t="s">
        <v>37</v>
      </c>
      <c r="M144" t="s">
        <v>38</v>
      </c>
      <c r="N144" t="s">
        <v>37</v>
      </c>
      <c r="O144" t="s">
        <v>25</v>
      </c>
      <c r="P144" t="s">
        <v>32</v>
      </c>
      <c r="Q144" t="s">
        <v>26</v>
      </c>
      <c r="R144" t="s">
        <v>39</v>
      </c>
      <c r="S144">
        <v>48.42</v>
      </c>
      <c r="T144">
        <v>3808.39</v>
      </c>
      <c r="U144">
        <v>45274</v>
      </c>
      <c r="V144" t="s">
        <v>26</v>
      </c>
      <c r="W144" t="s">
        <v>30</v>
      </c>
    </row>
    <row r="145" spans="1:23" x14ac:dyDescent="0.35">
      <c r="A145">
        <v>11827</v>
      </c>
      <c r="B145" t="s">
        <v>34</v>
      </c>
      <c r="C145">
        <v>0</v>
      </c>
      <c r="D145" t="s">
        <v>25</v>
      </c>
      <c r="E145" t="s">
        <v>25</v>
      </c>
      <c r="F145">
        <v>60</v>
      </c>
      <c r="G145" t="s">
        <v>26</v>
      </c>
      <c r="H145" t="s">
        <v>25</v>
      </c>
      <c r="I145" t="s">
        <v>35</v>
      </c>
      <c r="J145" t="s">
        <v>25</v>
      </c>
      <c r="K145" t="s">
        <v>26</v>
      </c>
      <c r="L145" t="s">
        <v>25</v>
      </c>
      <c r="M145" t="s">
        <v>36</v>
      </c>
      <c r="N145" t="s">
        <v>26</v>
      </c>
      <c r="O145" t="s">
        <v>25</v>
      </c>
      <c r="P145" t="s">
        <v>41</v>
      </c>
      <c r="Q145" t="s">
        <v>25</v>
      </c>
      <c r="R145" t="s">
        <v>43</v>
      </c>
      <c r="S145">
        <v>37.770000000000003</v>
      </c>
      <c r="T145">
        <v>1014.6</v>
      </c>
      <c r="U145">
        <v>45379</v>
      </c>
      <c r="V145" t="s">
        <v>26</v>
      </c>
      <c r="W145" t="s">
        <v>30</v>
      </c>
    </row>
    <row r="146" spans="1:23" x14ac:dyDescent="0.35">
      <c r="A146">
        <v>17119</v>
      </c>
      <c r="B146" t="s">
        <v>34</v>
      </c>
      <c r="C146">
        <v>0</v>
      </c>
      <c r="D146" t="s">
        <v>25</v>
      </c>
      <c r="E146" t="s">
        <v>25</v>
      </c>
      <c r="F146">
        <v>3</v>
      </c>
      <c r="G146" t="s">
        <v>26</v>
      </c>
      <c r="H146" t="s">
        <v>26</v>
      </c>
      <c r="I146" t="s">
        <v>25</v>
      </c>
      <c r="J146" t="s">
        <v>25</v>
      </c>
      <c r="K146" t="s">
        <v>25</v>
      </c>
      <c r="L146" t="s">
        <v>25</v>
      </c>
      <c r="M146" t="s">
        <v>38</v>
      </c>
      <c r="N146" t="s">
        <v>26</v>
      </c>
      <c r="O146" t="s">
        <v>25</v>
      </c>
      <c r="P146" t="s">
        <v>28</v>
      </c>
      <c r="Q146" t="s">
        <v>26</v>
      </c>
      <c r="R146" t="s">
        <v>29</v>
      </c>
      <c r="S146">
        <v>93.89</v>
      </c>
      <c r="T146">
        <v>6083.75</v>
      </c>
      <c r="U146">
        <v>45228</v>
      </c>
      <c r="V146" t="s">
        <v>25</v>
      </c>
      <c r="W146" t="s">
        <v>30</v>
      </c>
    </row>
    <row r="147" spans="1:23" x14ac:dyDescent="0.35">
      <c r="A147">
        <v>10653</v>
      </c>
      <c r="B147" t="s">
        <v>34</v>
      </c>
      <c r="C147">
        <v>0</v>
      </c>
      <c r="D147" t="s">
        <v>25</v>
      </c>
      <c r="E147" t="s">
        <v>25</v>
      </c>
      <c r="F147">
        <v>55</v>
      </c>
      <c r="G147" t="s">
        <v>26</v>
      </c>
      <c r="H147" t="s">
        <v>25</v>
      </c>
      <c r="I147" t="s">
        <v>35</v>
      </c>
      <c r="J147" t="s">
        <v>25</v>
      </c>
      <c r="K147" t="s">
        <v>25</v>
      </c>
      <c r="L147" t="s">
        <v>25</v>
      </c>
      <c r="M147" t="s">
        <v>25</v>
      </c>
      <c r="N147" t="s">
        <v>26</v>
      </c>
      <c r="O147" t="s">
        <v>37</v>
      </c>
      <c r="P147" t="s">
        <v>32</v>
      </c>
      <c r="Q147" t="s">
        <v>26</v>
      </c>
      <c r="R147" t="s">
        <v>39</v>
      </c>
      <c r="S147">
        <v>95.24</v>
      </c>
      <c r="T147">
        <v>7069</v>
      </c>
      <c r="U147">
        <v>45184</v>
      </c>
      <c r="V147" t="s">
        <v>25</v>
      </c>
      <c r="W147" t="s">
        <v>50</v>
      </c>
    </row>
    <row r="148" spans="1:23" x14ac:dyDescent="0.35">
      <c r="A148">
        <v>15152</v>
      </c>
      <c r="B148" t="s">
        <v>46</v>
      </c>
      <c r="C148">
        <v>0</v>
      </c>
      <c r="D148" t="s">
        <v>26</v>
      </c>
      <c r="E148" t="s">
        <v>36</v>
      </c>
      <c r="F148">
        <v>57</v>
      </c>
      <c r="G148" t="s">
        <v>26</v>
      </c>
      <c r="H148" t="s">
        <v>25</v>
      </c>
      <c r="I148" t="s">
        <v>25</v>
      </c>
      <c r="J148" t="s">
        <v>38</v>
      </c>
      <c r="K148" t="s">
        <v>26</v>
      </c>
      <c r="L148" t="s">
        <v>37</v>
      </c>
      <c r="M148" t="s">
        <v>25</v>
      </c>
      <c r="N148" t="s">
        <v>25</v>
      </c>
      <c r="O148" t="s">
        <v>36</v>
      </c>
      <c r="P148" t="s">
        <v>32</v>
      </c>
      <c r="Q148" t="s">
        <v>26</v>
      </c>
      <c r="R148" t="s">
        <v>39</v>
      </c>
      <c r="S148">
        <v>49.29</v>
      </c>
      <c r="T148">
        <v>5686.37</v>
      </c>
      <c r="U148">
        <v>44150</v>
      </c>
      <c r="V148" t="s">
        <v>25</v>
      </c>
      <c r="W148" t="s">
        <v>30</v>
      </c>
    </row>
    <row r="149" spans="1:23" x14ac:dyDescent="0.35">
      <c r="A149">
        <v>16328</v>
      </c>
      <c r="B149" t="s">
        <v>34</v>
      </c>
      <c r="C149" t="s">
        <v>25</v>
      </c>
      <c r="D149" t="s">
        <v>25</v>
      </c>
      <c r="E149" t="s">
        <v>36</v>
      </c>
      <c r="F149">
        <v>39</v>
      </c>
      <c r="G149" t="s">
        <v>26</v>
      </c>
      <c r="H149" t="s">
        <v>26</v>
      </c>
      <c r="I149" t="s">
        <v>25</v>
      </c>
      <c r="J149" t="s">
        <v>26</v>
      </c>
      <c r="K149" t="s">
        <v>26</v>
      </c>
      <c r="L149" t="s">
        <v>36</v>
      </c>
      <c r="M149" t="s">
        <v>37</v>
      </c>
      <c r="N149" t="s">
        <v>37</v>
      </c>
      <c r="O149" t="s">
        <v>25</v>
      </c>
      <c r="P149" t="s">
        <v>48</v>
      </c>
      <c r="Q149" t="s">
        <v>26</v>
      </c>
      <c r="R149" t="s">
        <v>39</v>
      </c>
      <c r="S149">
        <v>30.06</v>
      </c>
      <c r="T149">
        <v>2070.0500000000002</v>
      </c>
      <c r="U149">
        <v>45324</v>
      </c>
      <c r="V149" t="s">
        <v>25</v>
      </c>
      <c r="W149" t="s">
        <v>30</v>
      </c>
    </row>
    <row r="150" spans="1:23" x14ac:dyDescent="0.35">
      <c r="A150">
        <v>15371</v>
      </c>
      <c r="B150" t="s">
        <v>46</v>
      </c>
      <c r="C150">
        <v>0</v>
      </c>
      <c r="D150" t="s">
        <v>26</v>
      </c>
      <c r="E150" t="s">
        <v>25</v>
      </c>
      <c r="F150">
        <v>52</v>
      </c>
      <c r="G150" t="s">
        <v>38</v>
      </c>
      <c r="H150" t="s">
        <v>47</v>
      </c>
      <c r="I150" t="s">
        <v>35</v>
      </c>
      <c r="J150" t="s">
        <v>38</v>
      </c>
      <c r="K150" t="s">
        <v>26</v>
      </c>
      <c r="L150" t="s">
        <v>26</v>
      </c>
      <c r="M150" t="s">
        <v>25</v>
      </c>
      <c r="N150" t="s">
        <v>25</v>
      </c>
      <c r="O150" t="s">
        <v>25</v>
      </c>
      <c r="P150" t="s">
        <v>45</v>
      </c>
      <c r="Q150" t="s">
        <v>26</v>
      </c>
      <c r="R150" t="s">
        <v>39</v>
      </c>
      <c r="S150">
        <v>70.81</v>
      </c>
      <c r="T150">
        <v>7436.46</v>
      </c>
      <c r="U150">
        <v>44824</v>
      </c>
      <c r="V150" t="s">
        <v>25</v>
      </c>
      <c r="W150" t="s">
        <v>30</v>
      </c>
    </row>
    <row r="151" spans="1:23" x14ac:dyDescent="0.35">
      <c r="A151">
        <v>16829</v>
      </c>
      <c r="B151" t="s">
        <v>34</v>
      </c>
      <c r="C151">
        <v>0</v>
      </c>
      <c r="D151" t="s">
        <v>26</v>
      </c>
      <c r="E151" t="s">
        <v>25</v>
      </c>
      <c r="F151">
        <v>32</v>
      </c>
      <c r="G151" t="s">
        <v>26</v>
      </c>
      <c r="H151" t="s">
        <v>38</v>
      </c>
      <c r="I151" t="s">
        <v>27</v>
      </c>
      <c r="J151" t="s">
        <v>26</v>
      </c>
      <c r="K151" t="s">
        <v>25</v>
      </c>
      <c r="L151" t="s">
        <v>26</v>
      </c>
      <c r="M151" t="s">
        <v>37</v>
      </c>
      <c r="N151" t="s">
        <v>37</v>
      </c>
      <c r="O151" t="s">
        <v>25</v>
      </c>
      <c r="P151" t="s">
        <v>32</v>
      </c>
      <c r="Q151" t="s">
        <v>36</v>
      </c>
      <c r="R151" t="s">
        <v>33</v>
      </c>
      <c r="S151">
        <v>115.93</v>
      </c>
      <c r="T151">
        <v>2480.27</v>
      </c>
      <c r="U151">
        <v>44133</v>
      </c>
      <c r="V151" t="s">
        <v>25</v>
      </c>
      <c r="W151" t="s">
        <v>30</v>
      </c>
    </row>
    <row r="152" spans="1:23" x14ac:dyDescent="0.35">
      <c r="A152">
        <v>5392</v>
      </c>
      <c r="B152" t="s">
        <v>31</v>
      </c>
      <c r="C152">
        <v>1</v>
      </c>
      <c r="D152" t="s">
        <v>26</v>
      </c>
      <c r="E152" t="s">
        <v>26</v>
      </c>
      <c r="F152">
        <v>20</v>
      </c>
      <c r="G152" t="s">
        <v>26</v>
      </c>
      <c r="H152" t="s">
        <v>25</v>
      </c>
      <c r="I152" t="s">
        <v>27</v>
      </c>
      <c r="J152" t="s">
        <v>36</v>
      </c>
      <c r="K152" t="s">
        <v>37</v>
      </c>
      <c r="L152" t="s">
        <v>25</v>
      </c>
      <c r="M152" t="s">
        <v>25</v>
      </c>
      <c r="N152" t="s">
        <v>36</v>
      </c>
      <c r="O152" t="s">
        <v>25</v>
      </c>
      <c r="P152" t="s">
        <v>32</v>
      </c>
      <c r="Q152" t="s">
        <v>36</v>
      </c>
      <c r="R152" t="s">
        <v>39</v>
      </c>
      <c r="S152">
        <v>103.01</v>
      </c>
      <c r="T152">
        <v>2146.02</v>
      </c>
      <c r="U152">
        <v>44278</v>
      </c>
      <c r="V152" t="s">
        <v>25</v>
      </c>
      <c r="W152" t="s">
        <v>30</v>
      </c>
    </row>
    <row r="153" spans="1:23" x14ac:dyDescent="0.35">
      <c r="A153">
        <v>6129</v>
      </c>
      <c r="B153" t="s">
        <v>34</v>
      </c>
      <c r="C153">
        <v>0</v>
      </c>
      <c r="D153" t="s">
        <v>25</v>
      </c>
      <c r="E153" t="s">
        <v>25</v>
      </c>
      <c r="F153">
        <v>19</v>
      </c>
      <c r="G153" t="s">
        <v>38</v>
      </c>
      <c r="H153" t="s">
        <v>26</v>
      </c>
      <c r="I153" t="s">
        <v>27</v>
      </c>
      <c r="J153" t="s">
        <v>37</v>
      </c>
      <c r="K153" t="s">
        <v>37</v>
      </c>
      <c r="L153" t="s">
        <v>25</v>
      </c>
      <c r="M153" t="s">
        <v>25</v>
      </c>
      <c r="N153" t="s">
        <v>37</v>
      </c>
      <c r="O153" t="s">
        <v>36</v>
      </c>
      <c r="P153" t="s">
        <v>28</v>
      </c>
      <c r="Q153" t="s">
        <v>25</v>
      </c>
      <c r="R153" t="s">
        <v>39</v>
      </c>
      <c r="S153">
        <v>78.02</v>
      </c>
      <c r="T153">
        <v>2883.34</v>
      </c>
      <c r="U153">
        <v>44112</v>
      </c>
      <c r="V153" t="s">
        <v>25</v>
      </c>
      <c r="W153" t="s">
        <v>30</v>
      </c>
    </row>
    <row r="154" spans="1:23" x14ac:dyDescent="0.35">
      <c r="A154">
        <v>15882</v>
      </c>
      <c r="B154" t="s">
        <v>34</v>
      </c>
      <c r="C154" t="s">
        <v>26</v>
      </c>
      <c r="D154" t="s">
        <v>25</v>
      </c>
      <c r="E154" t="s">
        <v>25</v>
      </c>
      <c r="F154">
        <v>9</v>
      </c>
      <c r="G154" t="s">
        <v>26</v>
      </c>
      <c r="H154" t="s">
        <v>25</v>
      </c>
      <c r="I154" t="s">
        <v>35</v>
      </c>
      <c r="J154" t="s">
        <v>38</v>
      </c>
      <c r="K154" t="s">
        <v>25</v>
      </c>
      <c r="L154" t="s">
        <v>26</v>
      </c>
      <c r="M154" t="s">
        <v>25</v>
      </c>
      <c r="N154" t="s">
        <v>25</v>
      </c>
      <c r="O154" t="s">
        <v>26</v>
      </c>
      <c r="P154" t="s">
        <v>45</v>
      </c>
      <c r="Q154" t="s">
        <v>26</v>
      </c>
      <c r="R154" t="s">
        <v>49</v>
      </c>
      <c r="S154">
        <v>71.17</v>
      </c>
      <c r="T154">
        <v>3765.53</v>
      </c>
      <c r="U154">
        <v>44575</v>
      </c>
      <c r="V154" t="s">
        <v>25</v>
      </c>
      <c r="W154" t="s">
        <v>30</v>
      </c>
    </row>
    <row r="155" spans="1:23" x14ac:dyDescent="0.35">
      <c r="A155">
        <v>12267</v>
      </c>
      <c r="B155" t="s">
        <v>31</v>
      </c>
      <c r="C155">
        <v>0</v>
      </c>
      <c r="D155" t="s">
        <v>26</v>
      </c>
      <c r="E155" t="s">
        <v>25</v>
      </c>
      <c r="F155">
        <v>4</v>
      </c>
      <c r="G155" t="s">
        <v>25</v>
      </c>
      <c r="H155" t="s">
        <v>26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26</v>
      </c>
      <c r="O155" t="s">
        <v>37</v>
      </c>
      <c r="P155" t="s">
        <v>32</v>
      </c>
      <c r="Q155" t="s">
        <v>25</v>
      </c>
      <c r="R155" t="s">
        <v>43</v>
      </c>
      <c r="S155">
        <v>119.2</v>
      </c>
      <c r="T155">
        <v>6147.01</v>
      </c>
      <c r="U155">
        <v>44439</v>
      </c>
      <c r="V155" t="s">
        <v>25</v>
      </c>
      <c r="W155" t="s">
        <v>30</v>
      </c>
    </row>
    <row r="156" spans="1:23" x14ac:dyDescent="0.35">
      <c r="A156">
        <v>3113</v>
      </c>
      <c r="B156" t="s">
        <v>34</v>
      </c>
      <c r="C156">
        <v>0</v>
      </c>
      <c r="D156" t="s">
        <v>25</v>
      </c>
      <c r="E156" t="s">
        <v>25</v>
      </c>
      <c r="F156">
        <v>45</v>
      </c>
      <c r="G156" t="s">
        <v>26</v>
      </c>
      <c r="H156" t="s">
        <v>26</v>
      </c>
      <c r="I156" t="s">
        <v>35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38</v>
      </c>
      <c r="P156" t="s">
        <v>32</v>
      </c>
      <c r="Q156" t="s">
        <v>26</v>
      </c>
      <c r="R156" t="s">
        <v>49</v>
      </c>
      <c r="S156">
        <v>74.69</v>
      </c>
      <c r="T156">
        <v>2611.25</v>
      </c>
      <c r="U156">
        <v>44302</v>
      </c>
      <c r="V156" t="s">
        <v>25</v>
      </c>
      <c r="W156" t="s">
        <v>30</v>
      </c>
    </row>
    <row r="157" spans="1:23" x14ac:dyDescent="0.35">
      <c r="A157">
        <v>19847</v>
      </c>
      <c r="B157" t="s">
        <v>31</v>
      </c>
      <c r="C157">
        <v>0</v>
      </c>
      <c r="D157" t="s">
        <v>25</v>
      </c>
      <c r="E157" t="s">
        <v>25</v>
      </c>
      <c r="F157">
        <v>14</v>
      </c>
      <c r="G157" t="s">
        <v>26</v>
      </c>
      <c r="H157" t="s">
        <v>25</v>
      </c>
      <c r="I157" t="s">
        <v>35</v>
      </c>
      <c r="J157" t="s">
        <v>25</v>
      </c>
      <c r="K157" t="s">
        <v>25</v>
      </c>
      <c r="L157" t="s">
        <v>25</v>
      </c>
      <c r="M157" t="s">
        <v>26</v>
      </c>
      <c r="N157" t="s">
        <v>26</v>
      </c>
      <c r="O157" t="s">
        <v>25</v>
      </c>
      <c r="P157" t="s">
        <v>45</v>
      </c>
      <c r="Q157" t="s">
        <v>26</v>
      </c>
      <c r="R157" t="s">
        <v>29</v>
      </c>
      <c r="S157">
        <v>38.01</v>
      </c>
      <c r="T157">
        <v>2212.64</v>
      </c>
      <c r="U157">
        <v>44152</v>
      </c>
      <c r="V157" t="s">
        <v>25</v>
      </c>
      <c r="W157" t="s">
        <v>30</v>
      </c>
    </row>
    <row r="158" spans="1:23" x14ac:dyDescent="0.35">
      <c r="A158">
        <v>13103</v>
      </c>
      <c r="B158" t="s">
        <v>1</v>
      </c>
      <c r="C158">
        <v>0</v>
      </c>
      <c r="D158" t="s">
        <v>26</v>
      </c>
      <c r="E158" t="s">
        <v>26</v>
      </c>
      <c r="F158">
        <v>47</v>
      </c>
      <c r="G158" t="s">
        <v>26</v>
      </c>
      <c r="H158" t="s">
        <v>26</v>
      </c>
      <c r="I158" t="s">
        <v>27</v>
      </c>
      <c r="J158" t="s">
        <v>36</v>
      </c>
      <c r="K158" t="s">
        <v>26</v>
      </c>
      <c r="L158" t="s">
        <v>26</v>
      </c>
      <c r="M158" t="s">
        <v>25</v>
      </c>
      <c r="N158" t="s">
        <v>26</v>
      </c>
      <c r="O158" t="s">
        <v>38</v>
      </c>
      <c r="P158" t="s">
        <v>32</v>
      </c>
      <c r="Q158" t="s">
        <v>26</v>
      </c>
      <c r="R158" t="s">
        <v>49</v>
      </c>
      <c r="S158">
        <v>57.44</v>
      </c>
      <c r="T158">
        <v>2689.69</v>
      </c>
      <c r="U158">
        <v>44107</v>
      </c>
      <c r="V158" t="s">
        <v>25</v>
      </c>
      <c r="W158" t="s">
        <v>30</v>
      </c>
    </row>
    <row r="159" spans="1:23" x14ac:dyDescent="0.35">
      <c r="A159">
        <v>4657</v>
      </c>
      <c r="B159" t="s">
        <v>34</v>
      </c>
      <c r="C159">
        <v>0</v>
      </c>
      <c r="D159" t="s">
        <v>26</v>
      </c>
      <c r="E159" t="s">
        <v>25</v>
      </c>
      <c r="F159">
        <v>70</v>
      </c>
      <c r="G159" t="s">
        <v>26</v>
      </c>
      <c r="H159" t="s">
        <v>25</v>
      </c>
      <c r="I159" t="s">
        <v>35</v>
      </c>
      <c r="J159" t="s">
        <v>26</v>
      </c>
      <c r="K159" t="s">
        <v>26</v>
      </c>
      <c r="L159" t="s">
        <v>25</v>
      </c>
      <c r="M159" t="s">
        <v>37</v>
      </c>
      <c r="N159" t="s">
        <v>36</v>
      </c>
      <c r="O159" t="s">
        <v>25</v>
      </c>
      <c r="P159" t="s">
        <v>41</v>
      </c>
      <c r="Q159" t="s">
        <v>26</v>
      </c>
      <c r="R159" t="s">
        <v>39</v>
      </c>
      <c r="S159">
        <v>43.97</v>
      </c>
      <c r="U159">
        <v>44812</v>
      </c>
      <c r="V159" t="s">
        <v>26</v>
      </c>
      <c r="W159" t="s">
        <v>30</v>
      </c>
    </row>
    <row r="160" spans="1:23" x14ac:dyDescent="0.35">
      <c r="A160">
        <v>1696</v>
      </c>
      <c r="B160" t="s">
        <v>31</v>
      </c>
      <c r="C160">
        <v>0</v>
      </c>
      <c r="D160" t="s">
        <v>26</v>
      </c>
      <c r="E160" t="s">
        <v>25</v>
      </c>
      <c r="F160">
        <v>35</v>
      </c>
      <c r="G160" t="s">
        <v>26</v>
      </c>
      <c r="H160" t="s">
        <v>26</v>
      </c>
      <c r="I160" t="s">
        <v>35</v>
      </c>
      <c r="J160" t="s">
        <v>26</v>
      </c>
      <c r="K160" t="s">
        <v>38</v>
      </c>
      <c r="L160" t="s">
        <v>25</v>
      </c>
      <c r="M160" t="s">
        <v>37</v>
      </c>
      <c r="N160" t="s">
        <v>36</v>
      </c>
      <c r="O160" t="s">
        <v>26</v>
      </c>
      <c r="P160" t="s">
        <v>42</v>
      </c>
      <c r="Q160" t="s">
        <v>25</v>
      </c>
      <c r="R160" t="s">
        <v>39</v>
      </c>
      <c r="S160">
        <v>60.27</v>
      </c>
      <c r="T160">
        <v>116.07</v>
      </c>
      <c r="U160">
        <v>44447</v>
      </c>
      <c r="V160" t="s">
        <v>25</v>
      </c>
      <c r="W160" t="s">
        <v>30</v>
      </c>
    </row>
    <row r="161" spans="1:23" x14ac:dyDescent="0.35">
      <c r="A161">
        <v>4051</v>
      </c>
      <c r="B161" t="s">
        <v>34</v>
      </c>
      <c r="C161">
        <v>1</v>
      </c>
      <c r="D161" t="s">
        <v>26</v>
      </c>
      <c r="E161" t="s">
        <v>25</v>
      </c>
      <c r="F161">
        <v>16</v>
      </c>
      <c r="G161" t="s">
        <v>26</v>
      </c>
      <c r="H161" t="s">
        <v>25</v>
      </c>
      <c r="I161" t="s">
        <v>35</v>
      </c>
      <c r="J161" t="s">
        <v>25</v>
      </c>
      <c r="K161" t="s">
        <v>37</v>
      </c>
      <c r="L161" t="s">
        <v>25</v>
      </c>
      <c r="M161" t="s">
        <v>37</v>
      </c>
      <c r="N161" t="s">
        <v>26</v>
      </c>
      <c r="O161" t="s">
        <v>26</v>
      </c>
      <c r="P161" t="s">
        <v>48</v>
      </c>
      <c r="Q161" t="s">
        <v>25</v>
      </c>
      <c r="R161" t="s">
        <v>44</v>
      </c>
      <c r="S161">
        <v>98.11</v>
      </c>
      <c r="T161">
        <v>3267.39</v>
      </c>
      <c r="U161">
        <v>44117</v>
      </c>
      <c r="V161" t="s">
        <v>25</v>
      </c>
      <c r="W161" t="s">
        <v>30</v>
      </c>
    </row>
    <row r="162" spans="1:23" x14ac:dyDescent="0.35">
      <c r="A162">
        <v>2600</v>
      </c>
      <c r="B162" t="s">
        <v>46</v>
      </c>
      <c r="C162">
        <v>1</v>
      </c>
      <c r="D162" t="s">
        <v>25</v>
      </c>
      <c r="E162" t="s">
        <v>25</v>
      </c>
      <c r="F162">
        <v>33</v>
      </c>
      <c r="G162" t="s">
        <v>26</v>
      </c>
      <c r="H162" t="s">
        <v>25</v>
      </c>
      <c r="I162" t="s">
        <v>52</v>
      </c>
      <c r="J162" t="s">
        <v>37</v>
      </c>
      <c r="K162" t="s">
        <v>25</v>
      </c>
      <c r="L162" t="s">
        <v>25</v>
      </c>
      <c r="M162" t="s">
        <v>36</v>
      </c>
      <c r="N162" t="s">
        <v>26</v>
      </c>
      <c r="O162" t="s">
        <v>25</v>
      </c>
      <c r="P162" t="s">
        <v>28</v>
      </c>
      <c r="Q162" t="s">
        <v>26</v>
      </c>
      <c r="R162" t="s">
        <v>33</v>
      </c>
      <c r="T162">
        <v>7598.64</v>
      </c>
      <c r="U162">
        <v>44766</v>
      </c>
      <c r="V162" t="s">
        <v>25</v>
      </c>
      <c r="W162" t="s">
        <v>30</v>
      </c>
    </row>
    <row r="163" spans="1:23" x14ac:dyDescent="0.35">
      <c r="A163">
        <v>2183</v>
      </c>
      <c r="B163" t="s">
        <v>31</v>
      </c>
      <c r="C163">
        <v>0</v>
      </c>
      <c r="D163" t="s">
        <v>25</v>
      </c>
      <c r="E163" t="s">
        <v>25</v>
      </c>
      <c r="F163">
        <v>67</v>
      </c>
      <c r="G163" t="s">
        <v>25</v>
      </c>
      <c r="H163" t="s">
        <v>36</v>
      </c>
      <c r="I163" t="s">
        <v>27</v>
      </c>
      <c r="J163" t="s">
        <v>25</v>
      </c>
      <c r="K163" t="s">
        <v>26</v>
      </c>
      <c r="L163" t="s">
        <v>25</v>
      </c>
      <c r="M163" t="s">
        <v>26</v>
      </c>
      <c r="N163" t="s">
        <v>26</v>
      </c>
      <c r="O163" t="s">
        <v>26</v>
      </c>
      <c r="P163" t="s">
        <v>41</v>
      </c>
      <c r="Q163" t="s">
        <v>25</v>
      </c>
      <c r="R163" t="s">
        <v>44</v>
      </c>
      <c r="S163">
        <v>55.74</v>
      </c>
      <c r="T163">
        <v>1632.74</v>
      </c>
      <c r="U163">
        <v>44141</v>
      </c>
      <c r="V163" t="s">
        <v>25</v>
      </c>
      <c r="W163" t="s">
        <v>30</v>
      </c>
    </row>
    <row r="164" spans="1:23" x14ac:dyDescent="0.35">
      <c r="A164">
        <v>9104</v>
      </c>
      <c r="B164" t="s">
        <v>34</v>
      </c>
      <c r="C164">
        <v>1</v>
      </c>
      <c r="D164" t="s">
        <v>25</v>
      </c>
      <c r="E164" t="s">
        <v>26</v>
      </c>
      <c r="F164">
        <v>14</v>
      </c>
      <c r="G164" t="s">
        <v>26</v>
      </c>
      <c r="H164" t="s">
        <v>47</v>
      </c>
      <c r="I164" t="s">
        <v>25</v>
      </c>
      <c r="J164" t="s">
        <v>25</v>
      </c>
      <c r="K164" t="s">
        <v>25</v>
      </c>
      <c r="L164" t="s">
        <v>25</v>
      </c>
      <c r="M164" t="s">
        <v>36</v>
      </c>
      <c r="N164" t="s">
        <v>26</v>
      </c>
      <c r="O164" t="s">
        <v>26</v>
      </c>
      <c r="P164" t="s">
        <v>32</v>
      </c>
      <c r="Q164" t="s">
        <v>26</v>
      </c>
      <c r="R164" t="s">
        <v>33</v>
      </c>
      <c r="S164">
        <v>104.11</v>
      </c>
      <c r="T164">
        <v>1371.65</v>
      </c>
      <c r="U164">
        <v>44491</v>
      </c>
      <c r="V164" t="s">
        <v>25</v>
      </c>
      <c r="W164" t="s">
        <v>30</v>
      </c>
    </row>
    <row r="165" spans="1:23" x14ac:dyDescent="0.35">
      <c r="A165">
        <v>8008</v>
      </c>
      <c r="B165" t="s">
        <v>34</v>
      </c>
      <c r="C165">
        <v>1</v>
      </c>
      <c r="D165" t="s">
        <v>26</v>
      </c>
      <c r="E165" t="s">
        <v>26</v>
      </c>
      <c r="F165">
        <v>68</v>
      </c>
      <c r="G165" t="s">
        <v>26</v>
      </c>
      <c r="H165" t="s">
        <v>25</v>
      </c>
      <c r="I165" t="s">
        <v>27</v>
      </c>
      <c r="J165" t="s">
        <v>25</v>
      </c>
      <c r="K165" t="s">
        <v>26</v>
      </c>
      <c r="L165" t="s">
        <v>26</v>
      </c>
      <c r="M165" t="s">
        <v>25</v>
      </c>
      <c r="N165" t="s">
        <v>25</v>
      </c>
      <c r="O165" t="s">
        <v>26</v>
      </c>
      <c r="P165" t="s">
        <v>41</v>
      </c>
      <c r="Q165" t="s">
        <v>26</v>
      </c>
      <c r="R165" t="s">
        <v>43</v>
      </c>
      <c r="S165">
        <v>118.9</v>
      </c>
      <c r="T165">
        <v>766.31</v>
      </c>
      <c r="U165">
        <v>43912</v>
      </c>
      <c r="V165" t="s">
        <v>25</v>
      </c>
      <c r="W165" t="s">
        <v>30</v>
      </c>
    </row>
    <row r="166" spans="1:23" x14ac:dyDescent="0.35">
      <c r="A166">
        <v>7724</v>
      </c>
      <c r="B166" t="s">
        <v>31</v>
      </c>
      <c r="C166">
        <v>0</v>
      </c>
      <c r="D166" t="s">
        <v>25</v>
      </c>
      <c r="E166" t="s">
        <v>25</v>
      </c>
      <c r="F166">
        <v>9</v>
      </c>
      <c r="G166" t="s">
        <v>26</v>
      </c>
      <c r="H166" t="s">
        <v>47</v>
      </c>
      <c r="I166" t="s">
        <v>35</v>
      </c>
      <c r="J166" t="s">
        <v>37</v>
      </c>
      <c r="K166" t="s">
        <v>26</v>
      </c>
      <c r="L166" t="s">
        <v>36</v>
      </c>
      <c r="M166" t="s">
        <v>36</v>
      </c>
      <c r="N166" t="s">
        <v>26</v>
      </c>
      <c r="O166" t="s">
        <v>37</v>
      </c>
      <c r="P166" t="s">
        <v>28</v>
      </c>
      <c r="Q166" t="s">
        <v>26</v>
      </c>
      <c r="R166" t="s">
        <v>33</v>
      </c>
      <c r="S166">
        <v>90.19</v>
      </c>
      <c r="T166">
        <v>7365.03</v>
      </c>
      <c r="U166">
        <v>43981</v>
      </c>
      <c r="V166" t="s">
        <v>25</v>
      </c>
      <c r="W166" t="s">
        <v>30</v>
      </c>
    </row>
    <row r="167" spans="1:23" x14ac:dyDescent="0.35">
      <c r="A167">
        <v>9249</v>
      </c>
      <c r="B167" t="s">
        <v>0</v>
      </c>
      <c r="C167">
        <v>0</v>
      </c>
      <c r="D167" t="s">
        <v>36</v>
      </c>
      <c r="E167" t="s">
        <v>26</v>
      </c>
      <c r="F167">
        <v>67</v>
      </c>
      <c r="G167" t="s">
        <v>26</v>
      </c>
      <c r="H167" t="s">
        <v>26</v>
      </c>
      <c r="I167" t="s">
        <v>27</v>
      </c>
      <c r="J167" t="s">
        <v>36</v>
      </c>
      <c r="K167" t="s">
        <v>37</v>
      </c>
      <c r="L167" t="s">
        <v>37</v>
      </c>
      <c r="M167" t="s">
        <v>25</v>
      </c>
      <c r="N167" t="s">
        <v>25</v>
      </c>
      <c r="O167" t="s">
        <v>26</v>
      </c>
      <c r="P167" t="s">
        <v>32</v>
      </c>
      <c r="Q167" t="s">
        <v>25</v>
      </c>
      <c r="R167" t="s">
        <v>39</v>
      </c>
      <c r="S167">
        <v>40</v>
      </c>
      <c r="T167">
        <v>6055.29</v>
      </c>
      <c r="U167">
        <v>45051</v>
      </c>
      <c r="V167" t="s">
        <v>25</v>
      </c>
      <c r="W167" t="s">
        <v>30</v>
      </c>
    </row>
    <row r="168" spans="1:23" x14ac:dyDescent="0.35">
      <c r="A168">
        <v>2115</v>
      </c>
      <c r="B168" t="s">
        <v>31</v>
      </c>
      <c r="C168">
        <v>0</v>
      </c>
      <c r="D168" t="s">
        <v>26</v>
      </c>
      <c r="E168" t="s">
        <v>36</v>
      </c>
      <c r="F168">
        <v>52</v>
      </c>
      <c r="G168" t="s">
        <v>26</v>
      </c>
      <c r="H168" t="s">
        <v>26</v>
      </c>
      <c r="I168" t="s">
        <v>35</v>
      </c>
      <c r="J168" t="s">
        <v>25</v>
      </c>
      <c r="K168" t="s">
        <v>37</v>
      </c>
      <c r="L168" t="s">
        <v>26</v>
      </c>
      <c r="M168" t="s">
        <v>26</v>
      </c>
      <c r="N168" t="s">
        <v>26</v>
      </c>
      <c r="O168" t="s">
        <v>37</v>
      </c>
      <c r="P168" t="s">
        <v>32</v>
      </c>
      <c r="Q168" t="s">
        <v>25</v>
      </c>
      <c r="R168" t="s">
        <v>39</v>
      </c>
      <c r="S168">
        <v>22.89</v>
      </c>
      <c r="T168">
        <v>2382.33</v>
      </c>
      <c r="U168">
        <v>44078</v>
      </c>
      <c r="V168" t="s">
        <v>25</v>
      </c>
      <c r="W168" t="s">
        <v>30</v>
      </c>
    </row>
    <row r="169" spans="1:23" x14ac:dyDescent="0.35">
      <c r="A169">
        <v>13650</v>
      </c>
      <c r="B169" t="s">
        <v>0</v>
      </c>
      <c r="C169">
        <v>0</v>
      </c>
      <c r="D169" t="s">
        <v>26</v>
      </c>
      <c r="E169" t="s">
        <v>26</v>
      </c>
      <c r="F169">
        <v>56</v>
      </c>
      <c r="G169" t="s">
        <v>26</v>
      </c>
      <c r="H169" t="s">
        <v>47</v>
      </c>
      <c r="I169" t="s">
        <v>27</v>
      </c>
      <c r="J169" t="s">
        <v>25</v>
      </c>
      <c r="K169" t="s">
        <v>26</v>
      </c>
      <c r="L169" t="s">
        <v>25</v>
      </c>
      <c r="M169" t="s">
        <v>37</v>
      </c>
      <c r="N169" t="s">
        <v>26</v>
      </c>
      <c r="O169" t="s">
        <v>37</v>
      </c>
      <c r="P169" t="s">
        <v>32</v>
      </c>
      <c r="Q169" t="s">
        <v>25</v>
      </c>
      <c r="R169" t="s">
        <v>39</v>
      </c>
      <c r="T169">
        <v>5881.22</v>
      </c>
      <c r="U169">
        <v>44205</v>
      </c>
      <c r="V169" t="s">
        <v>25</v>
      </c>
      <c r="W169" t="s">
        <v>30</v>
      </c>
    </row>
    <row r="170" spans="1:23" x14ac:dyDescent="0.35">
      <c r="A170">
        <v>3066</v>
      </c>
      <c r="B170" t="s">
        <v>31</v>
      </c>
      <c r="C170">
        <v>0</v>
      </c>
      <c r="D170" t="s">
        <v>25</v>
      </c>
      <c r="E170" t="s">
        <v>36</v>
      </c>
      <c r="F170">
        <v>50</v>
      </c>
      <c r="G170" t="s">
        <v>26</v>
      </c>
      <c r="H170" t="s">
        <v>38</v>
      </c>
      <c r="I170" t="s">
        <v>35</v>
      </c>
      <c r="J170" t="s">
        <v>25</v>
      </c>
      <c r="K170" t="s">
        <v>25</v>
      </c>
      <c r="L170" t="s">
        <v>36</v>
      </c>
      <c r="M170" t="s">
        <v>25</v>
      </c>
      <c r="N170" t="s">
        <v>26</v>
      </c>
      <c r="O170" t="s">
        <v>25</v>
      </c>
      <c r="P170" t="s">
        <v>41</v>
      </c>
      <c r="Q170" t="s">
        <v>26</v>
      </c>
      <c r="R170" t="s">
        <v>49</v>
      </c>
      <c r="S170">
        <v>113.5</v>
      </c>
      <c r="T170">
        <v>2174.0300000000002</v>
      </c>
      <c r="U170">
        <v>45186</v>
      </c>
      <c r="V170" t="s">
        <v>25</v>
      </c>
      <c r="W170" t="s">
        <v>30</v>
      </c>
    </row>
    <row r="171" spans="1:23" x14ac:dyDescent="0.35">
      <c r="A171">
        <v>8730</v>
      </c>
      <c r="B171" t="s">
        <v>31</v>
      </c>
      <c r="C171">
        <v>0</v>
      </c>
      <c r="D171" t="s">
        <v>26</v>
      </c>
      <c r="E171" t="s">
        <v>25</v>
      </c>
      <c r="F171">
        <v>50</v>
      </c>
      <c r="G171" t="s">
        <v>26</v>
      </c>
      <c r="H171" t="s">
        <v>36</v>
      </c>
      <c r="I171" t="s">
        <v>25</v>
      </c>
      <c r="J171" t="s">
        <v>26</v>
      </c>
      <c r="K171" t="s">
        <v>26</v>
      </c>
      <c r="L171" t="s">
        <v>26</v>
      </c>
      <c r="M171" t="s">
        <v>25</v>
      </c>
      <c r="N171" t="s">
        <v>25</v>
      </c>
      <c r="O171" t="s">
        <v>25</v>
      </c>
      <c r="P171" t="s">
        <v>32</v>
      </c>
      <c r="Q171" t="s">
        <v>26</v>
      </c>
      <c r="R171" t="s">
        <v>29</v>
      </c>
      <c r="S171">
        <v>92.76</v>
      </c>
      <c r="T171">
        <v>4536.12</v>
      </c>
      <c r="U171">
        <v>43884</v>
      </c>
      <c r="V171" t="s">
        <v>25</v>
      </c>
      <c r="W171" t="s">
        <v>50</v>
      </c>
    </row>
    <row r="172" spans="1:23" x14ac:dyDescent="0.35">
      <c r="A172">
        <v>2531</v>
      </c>
      <c r="B172" t="s">
        <v>34</v>
      </c>
      <c r="C172">
        <v>0</v>
      </c>
      <c r="D172" t="s">
        <v>26</v>
      </c>
      <c r="E172" t="s">
        <v>25</v>
      </c>
      <c r="F172">
        <v>23</v>
      </c>
      <c r="G172" t="s">
        <v>26</v>
      </c>
      <c r="H172" t="s">
        <v>25</v>
      </c>
      <c r="I172" t="s">
        <v>35</v>
      </c>
      <c r="J172" t="s">
        <v>26</v>
      </c>
      <c r="K172" t="s">
        <v>38</v>
      </c>
      <c r="L172" t="s">
        <v>37</v>
      </c>
      <c r="M172" t="s">
        <v>25</v>
      </c>
      <c r="N172" t="s">
        <v>26</v>
      </c>
      <c r="O172" t="s">
        <v>26</v>
      </c>
      <c r="P172" t="s">
        <v>42</v>
      </c>
      <c r="Q172" t="s">
        <v>26</v>
      </c>
      <c r="R172" t="s">
        <v>39</v>
      </c>
      <c r="S172">
        <v>51.19</v>
      </c>
      <c r="T172">
        <v>2627.68</v>
      </c>
      <c r="U172">
        <v>45123</v>
      </c>
      <c r="V172" t="s">
        <v>25</v>
      </c>
      <c r="W172" t="s">
        <v>30</v>
      </c>
    </row>
    <row r="173" spans="1:23" x14ac:dyDescent="0.35">
      <c r="A173">
        <v>1452</v>
      </c>
      <c r="B173" t="s">
        <v>31</v>
      </c>
      <c r="C173" t="s">
        <v>26</v>
      </c>
      <c r="D173" t="s">
        <v>36</v>
      </c>
      <c r="E173" t="s">
        <v>26</v>
      </c>
      <c r="F173">
        <v>18</v>
      </c>
      <c r="G173" t="s">
        <v>26</v>
      </c>
      <c r="H173" t="s">
        <v>25</v>
      </c>
      <c r="I173" t="s">
        <v>27</v>
      </c>
      <c r="J173" t="s">
        <v>37</v>
      </c>
      <c r="K173" t="s">
        <v>37</v>
      </c>
      <c r="L173" t="s">
        <v>25</v>
      </c>
      <c r="M173" t="s">
        <v>37</v>
      </c>
      <c r="N173" t="s">
        <v>26</v>
      </c>
      <c r="O173" t="s">
        <v>26</v>
      </c>
      <c r="P173" t="s">
        <v>32</v>
      </c>
      <c r="Q173" t="s">
        <v>25</v>
      </c>
      <c r="R173" t="s">
        <v>39</v>
      </c>
      <c r="S173">
        <v>88.26</v>
      </c>
      <c r="T173">
        <v>5796.08</v>
      </c>
      <c r="U173">
        <v>44478</v>
      </c>
      <c r="V173" t="s">
        <v>25</v>
      </c>
      <c r="W173" t="s">
        <v>30</v>
      </c>
    </row>
    <row r="174" spans="1:23" x14ac:dyDescent="0.35">
      <c r="A174">
        <v>17975</v>
      </c>
      <c r="B174" t="s">
        <v>34</v>
      </c>
      <c r="C174" t="s">
        <v>26</v>
      </c>
      <c r="D174" t="s">
        <v>25</v>
      </c>
      <c r="E174" t="s">
        <v>25</v>
      </c>
      <c r="F174">
        <v>19</v>
      </c>
      <c r="G174" t="s">
        <v>26</v>
      </c>
      <c r="H174" t="s">
        <v>47</v>
      </c>
      <c r="I174" t="s">
        <v>35</v>
      </c>
      <c r="J174" t="s">
        <v>25</v>
      </c>
      <c r="K174" t="s">
        <v>26</v>
      </c>
      <c r="L174" t="s">
        <v>36</v>
      </c>
      <c r="M174" t="s">
        <v>26</v>
      </c>
      <c r="N174" t="s">
        <v>37</v>
      </c>
      <c r="O174" t="s">
        <v>26</v>
      </c>
      <c r="P174" t="s">
        <v>41</v>
      </c>
      <c r="Q174" t="s">
        <v>26</v>
      </c>
      <c r="R174" t="s">
        <v>49</v>
      </c>
      <c r="S174">
        <v>62.02</v>
      </c>
      <c r="T174">
        <v>4710.32</v>
      </c>
      <c r="U174">
        <v>44383</v>
      </c>
      <c r="V174" t="s">
        <v>25</v>
      </c>
      <c r="W174" t="s">
        <v>30</v>
      </c>
    </row>
    <row r="175" spans="1:23" x14ac:dyDescent="0.35">
      <c r="A175">
        <v>4669</v>
      </c>
      <c r="B175" t="s">
        <v>34</v>
      </c>
      <c r="C175">
        <v>0</v>
      </c>
      <c r="D175" t="s">
        <v>25</v>
      </c>
      <c r="E175" t="s">
        <v>25</v>
      </c>
      <c r="F175">
        <v>48</v>
      </c>
      <c r="G175" t="s">
        <v>26</v>
      </c>
      <c r="H175" t="s">
        <v>47</v>
      </c>
      <c r="I175" t="s">
        <v>25</v>
      </c>
      <c r="J175" t="s">
        <v>26</v>
      </c>
      <c r="K175" t="s">
        <v>25</v>
      </c>
      <c r="L175" t="s">
        <v>37</v>
      </c>
      <c r="M175" t="s">
        <v>37</v>
      </c>
      <c r="N175" t="s">
        <v>38</v>
      </c>
      <c r="O175" t="s">
        <v>25</v>
      </c>
      <c r="P175" t="s">
        <v>32</v>
      </c>
      <c r="Q175" t="s">
        <v>25</v>
      </c>
      <c r="R175" t="s">
        <v>39</v>
      </c>
      <c r="T175">
        <v>2714.04</v>
      </c>
      <c r="U175">
        <v>44811</v>
      </c>
      <c r="V175" t="s">
        <v>25</v>
      </c>
      <c r="W175" t="s">
        <v>30</v>
      </c>
    </row>
    <row r="176" spans="1:23" x14ac:dyDescent="0.35">
      <c r="A176">
        <v>13750</v>
      </c>
      <c r="B176" t="s">
        <v>34</v>
      </c>
      <c r="C176">
        <v>0</v>
      </c>
      <c r="D176" t="s">
        <v>26</v>
      </c>
      <c r="E176" t="s">
        <v>25</v>
      </c>
      <c r="F176">
        <v>3</v>
      </c>
      <c r="G176" t="s">
        <v>26</v>
      </c>
      <c r="H176" t="s">
        <v>26</v>
      </c>
      <c r="I176" t="s">
        <v>35</v>
      </c>
      <c r="J176" t="s">
        <v>25</v>
      </c>
      <c r="K176" t="s">
        <v>37</v>
      </c>
      <c r="L176" t="s">
        <v>37</v>
      </c>
      <c r="M176" t="s">
        <v>26</v>
      </c>
      <c r="N176" t="s">
        <v>25</v>
      </c>
      <c r="O176" t="s">
        <v>25</v>
      </c>
      <c r="P176" t="s">
        <v>41</v>
      </c>
      <c r="Q176" t="s">
        <v>26</v>
      </c>
      <c r="R176" t="s">
        <v>29</v>
      </c>
      <c r="S176">
        <v>42.25</v>
      </c>
      <c r="T176">
        <v>2303.4</v>
      </c>
      <c r="U176">
        <v>45017</v>
      </c>
      <c r="V176" t="s">
        <v>25</v>
      </c>
      <c r="W176" t="s">
        <v>30</v>
      </c>
    </row>
    <row r="177" spans="1:23" x14ac:dyDescent="0.35">
      <c r="A177">
        <v>13752</v>
      </c>
      <c r="B177" t="s">
        <v>34</v>
      </c>
      <c r="C177">
        <v>1</v>
      </c>
      <c r="D177" t="s">
        <v>26</v>
      </c>
      <c r="E177" t="s">
        <v>25</v>
      </c>
      <c r="F177">
        <v>63</v>
      </c>
      <c r="G177" t="s">
        <v>25</v>
      </c>
      <c r="H177" t="s">
        <v>26</v>
      </c>
      <c r="I177" t="s">
        <v>35</v>
      </c>
      <c r="J177" t="s">
        <v>37</v>
      </c>
      <c r="K177" t="s">
        <v>38</v>
      </c>
      <c r="L177" t="s">
        <v>26</v>
      </c>
      <c r="M177" t="s">
        <v>25</v>
      </c>
      <c r="N177" t="s">
        <v>38</v>
      </c>
      <c r="O177" t="s">
        <v>36</v>
      </c>
      <c r="P177" t="s">
        <v>32</v>
      </c>
      <c r="Q177" t="s">
        <v>25</v>
      </c>
      <c r="R177" t="s">
        <v>39</v>
      </c>
      <c r="S177">
        <v>64.86</v>
      </c>
      <c r="T177">
        <v>4400.74</v>
      </c>
      <c r="U177">
        <v>44004</v>
      </c>
      <c r="V177" t="s">
        <v>25</v>
      </c>
      <c r="W177" t="s">
        <v>30</v>
      </c>
    </row>
    <row r="178" spans="1:23" x14ac:dyDescent="0.35">
      <c r="A178">
        <v>18551</v>
      </c>
      <c r="B178" t="s">
        <v>31</v>
      </c>
      <c r="C178">
        <v>0</v>
      </c>
      <c r="D178" t="s">
        <v>26</v>
      </c>
      <c r="E178" t="s">
        <v>25</v>
      </c>
      <c r="F178">
        <v>4</v>
      </c>
      <c r="G178" t="s">
        <v>26</v>
      </c>
      <c r="H178" t="s">
        <v>25</v>
      </c>
      <c r="I178" t="s">
        <v>35</v>
      </c>
      <c r="J178" t="s">
        <v>25</v>
      </c>
      <c r="K178" t="s">
        <v>26</v>
      </c>
      <c r="L178" t="s">
        <v>36</v>
      </c>
      <c r="M178" t="s">
        <v>37</v>
      </c>
      <c r="N178" t="s">
        <v>25</v>
      </c>
      <c r="O178" t="s">
        <v>25</v>
      </c>
      <c r="P178" t="s">
        <v>48</v>
      </c>
      <c r="Q178" t="s">
        <v>25</v>
      </c>
      <c r="R178" t="s">
        <v>44</v>
      </c>
      <c r="S178">
        <v>119.82</v>
      </c>
      <c r="T178">
        <v>3904.29</v>
      </c>
      <c r="U178">
        <v>44249</v>
      </c>
      <c r="V178" t="s">
        <v>25</v>
      </c>
      <c r="W178" t="s">
        <v>30</v>
      </c>
    </row>
    <row r="179" spans="1:23" x14ac:dyDescent="0.35">
      <c r="A179">
        <v>14618</v>
      </c>
      <c r="B179" t="s">
        <v>31</v>
      </c>
      <c r="C179">
        <v>0</v>
      </c>
      <c r="D179" t="s">
        <v>25</v>
      </c>
      <c r="E179" t="s">
        <v>25</v>
      </c>
      <c r="F179">
        <v>30</v>
      </c>
      <c r="G179" t="s">
        <v>26</v>
      </c>
      <c r="H179" t="s">
        <v>25</v>
      </c>
      <c r="I179" t="s">
        <v>35</v>
      </c>
      <c r="J179" t="s">
        <v>25</v>
      </c>
      <c r="K179" t="s">
        <v>38</v>
      </c>
      <c r="L179" t="s">
        <v>37</v>
      </c>
      <c r="M179" t="s">
        <v>25</v>
      </c>
      <c r="N179" t="s">
        <v>37</v>
      </c>
      <c r="O179" t="s">
        <v>25</v>
      </c>
      <c r="P179" t="s">
        <v>32</v>
      </c>
      <c r="Q179" t="s">
        <v>25</v>
      </c>
      <c r="R179" t="s">
        <v>39</v>
      </c>
      <c r="S179">
        <v>41.22</v>
      </c>
      <c r="T179">
        <v>6434.53</v>
      </c>
      <c r="U179">
        <v>43850</v>
      </c>
      <c r="V179" t="s">
        <v>25</v>
      </c>
      <c r="W179" t="s">
        <v>30</v>
      </c>
    </row>
    <row r="180" spans="1:23" x14ac:dyDescent="0.35">
      <c r="A180">
        <v>5768</v>
      </c>
      <c r="B180" t="s">
        <v>34</v>
      </c>
      <c r="C180">
        <v>0</v>
      </c>
      <c r="D180" t="s">
        <v>36</v>
      </c>
      <c r="E180" t="s">
        <v>25</v>
      </c>
      <c r="F180">
        <v>51</v>
      </c>
      <c r="G180" t="s">
        <v>26</v>
      </c>
      <c r="H180" t="s">
        <v>26</v>
      </c>
      <c r="I180" t="s">
        <v>25</v>
      </c>
      <c r="J180" t="s">
        <v>36</v>
      </c>
      <c r="K180" t="s">
        <v>26</v>
      </c>
      <c r="L180" t="s">
        <v>37</v>
      </c>
      <c r="M180" t="s">
        <v>25</v>
      </c>
      <c r="N180" t="s">
        <v>26</v>
      </c>
      <c r="O180" t="s">
        <v>25</v>
      </c>
      <c r="P180" t="s">
        <v>28</v>
      </c>
      <c r="Q180" t="s">
        <v>25</v>
      </c>
      <c r="R180" t="s">
        <v>29</v>
      </c>
      <c r="S180">
        <v>26.99</v>
      </c>
      <c r="T180">
        <v>2545.1999999999998</v>
      </c>
      <c r="U180">
        <v>45325</v>
      </c>
      <c r="V180" t="s">
        <v>25</v>
      </c>
      <c r="W180" t="s">
        <v>30</v>
      </c>
    </row>
    <row r="181" spans="1:23" x14ac:dyDescent="0.35">
      <c r="A181">
        <v>16449</v>
      </c>
      <c r="B181" t="s">
        <v>31</v>
      </c>
      <c r="C181">
        <v>0</v>
      </c>
      <c r="D181" t="s">
        <v>25</v>
      </c>
      <c r="E181" t="s">
        <v>25</v>
      </c>
      <c r="F181">
        <v>3</v>
      </c>
      <c r="G181" t="s">
        <v>26</v>
      </c>
      <c r="H181" t="s">
        <v>26</v>
      </c>
      <c r="I181" t="s">
        <v>25</v>
      </c>
      <c r="J181" t="s">
        <v>37</v>
      </c>
      <c r="K181" t="s">
        <v>25</v>
      </c>
      <c r="L181" t="s">
        <v>26</v>
      </c>
      <c r="M181" t="s">
        <v>25</v>
      </c>
      <c r="N181" t="s">
        <v>26</v>
      </c>
      <c r="O181" t="s">
        <v>25</v>
      </c>
      <c r="P181" t="s">
        <v>28</v>
      </c>
      <c r="Q181" t="s">
        <v>26</v>
      </c>
      <c r="R181" t="s">
        <v>29</v>
      </c>
      <c r="S181">
        <v>117.17</v>
      </c>
      <c r="T181">
        <v>404.39</v>
      </c>
      <c r="U181">
        <v>44048</v>
      </c>
      <c r="V181" t="s">
        <v>25</v>
      </c>
      <c r="W181" t="s">
        <v>30</v>
      </c>
    </row>
    <row r="182" spans="1:23" x14ac:dyDescent="0.35">
      <c r="A182">
        <v>19985</v>
      </c>
      <c r="B182" t="s">
        <v>31</v>
      </c>
      <c r="C182">
        <v>0</v>
      </c>
      <c r="D182" t="s">
        <v>25</v>
      </c>
      <c r="E182" t="s">
        <v>26</v>
      </c>
      <c r="F182">
        <v>44</v>
      </c>
      <c r="G182" t="s">
        <v>26</v>
      </c>
      <c r="H182" t="s">
        <v>47</v>
      </c>
      <c r="I182" t="s">
        <v>25</v>
      </c>
      <c r="J182" t="s">
        <v>25</v>
      </c>
      <c r="K182" t="s">
        <v>26</v>
      </c>
      <c r="L182" t="s">
        <v>25</v>
      </c>
      <c r="M182" t="s">
        <v>25</v>
      </c>
      <c r="N182" t="s">
        <v>26</v>
      </c>
      <c r="O182" t="s">
        <v>26</v>
      </c>
      <c r="P182" t="s">
        <v>45</v>
      </c>
      <c r="Q182" t="s">
        <v>25</v>
      </c>
      <c r="R182" t="s">
        <v>39</v>
      </c>
      <c r="S182">
        <v>72.19</v>
      </c>
      <c r="T182">
        <v>1391.86</v>
      </c>
      <c r="U182">
        <v>43905</v>
      </c>
      <c r="V182" t="s">
        <v>25</v>
      </c>
      <c r="W182" t="s">
        <v>30</v>
      </c>
    </row>
    <row r="183" spans="1:23" x14ac:dyDescent="0.35">
      <c r="A183">
        <v>16743</v>
      </c>
      <c r="B183" t="s">
        <v>0</v>
      </c>
      <c r="C183" t="s">
        <v>25</v>
      </c>
      <c r="D183" t="s">
        <v>25</v>
      </c>
      <c r="E183" t="s">
        <v>25</v>
      </c>
      <c r="F183">
        <v>25</v>
      </c>
      <c r="G183" t="s">
        <v>38</v>
      </c>
      <c r="H183" t="s">
        <v>26</v>
      </c>
      <c r="I183" t="s">
        <v>27</v>
      </c>
      <c r="J183" t="s">
        <v>25</v>
      </c>
      <c r="K183" t="s">
        <v>36</v>
      </c>
      <c r="L183" t="s">
        <v>26</v>
      </c>
      <c r="M183" t="s">
        <v>25</v>
      </c>
      <c r="N183" t="s">
        <v>25</v>
      </c>
      <c r="O183" t="s">
        <v>25</v>
      </c>
      <c r="P183" t="s">
        <v>32</v>
      </c>
      <c r="Q183" t="s">
        <v>25</v>
      </c>
      <c r="R183" t="s">
        <v>39</v>
      </c>
      <c r="S183">
        <v>109.62</v>
      </c>
      <c r="T183">
        <v>7477.59</v>
      </c>
      <c r="U183">
        <v>44203</v>
      </c>
      <c r="V183" t="s">
        <v>25</v>
      </c>
      <c r="W183" t="s">
        <v>30</v>
      </c>
    </row>
    <row r="184" spans="1:23" x14ac:dyDescent="0.35">
      <c r="A184">
        <v>6246</v>
      </c>
      <c r="B184" t="s">
        <v>31</v>
      </c>
      <c r="C184">
        <v>0</v>
      </c>
      <c r="D184" t="s">
        <v>25</v>
      </c>
      <c r="E184" t="s">
        <v>36</v>
      </c>
      <c r="F184">
        <v>62</v>
      </c>
      <c r="G184" t="s">
        <v>25</v>
      </c>
      <c r="H184" t="s">
        <v>47</v>
      </c>
      <c r="I184" t="s">
        <v>25</v>
      </c>
      <c r="J184" t="s">
        <v>36</v>
      </c>
      <c r="K184" t="s">
        <v>25</v>
      </c>
      <c r="L184" t="s">
        <v>26</v>
      </c>
      <c r="M184" t="s">
        <v>25</v>
      </c>
      <c r="N184" t="s">
        <v>36</v>
      </c>
      <c r="O184" t="s">
        <v>37</v>
      </c>
      <c r="P184" t="s">
        <v>32</v>
      </c>
      <c r="Q184" t="s">
        <v>26</v>
      </c>
      <c r="R184" t="s">
        <v>43</v>
      </c>
      <c r="S184">
        <v>53.77</v>
      </c>
      <c r="T184">
        <v>5832.9</v>
      </c>
      <c r="U184">
        <v>45274</v>
      </c>
      <c r="V184" t="s">
        <v>25</v>
      </c>
      <c r="W184" t="s">
        <v>30</v>
      </c>
    </row>
    <row r="185" spans="1:23" x14ac:dyDescent="0.35">
      <c r="A185">
        <v>1219</v>
      </c>
      <c r="B185" t="s">
        <v>31</v>
      </c>
      <c r="C185">
        <v>1</v>
      </c>
      <c r="D185" t="s">
        <v>25</v>
      </c>
      <c r="E185" t="s">
        <v>25</v>
      </c>
      <c r="F185">
        <v>9</v>
      </c>
      <c r="G185" t="s">
        <v>26</v>
      </c>
      <c r="H185" t="s">
        <v>47</v>
      </c>
      <c r="I185" t="s">
        <v>35</v>
      </c>
      <c r="J185" t="s">
        <v>38</v>
      </c>
      <c r="K185" t="s">
        <v>36</v>
      </c>
      <c r="L185" t="s">
        <v>26</v>
      </c>
      <c r="M185" t="s">
        <v>25</v>
      </c>
      <c r="N185" t="s">
        <v>26</v>
      </c>
      <c r="O185" t="s">
        <v>38</v>
      </c>
      <c r="P185" t="s">
        <v>32</v>
      </c>
      <c r="Q185" t="s">
        <v>36</v>
      </c>
      <c r="R185" t="s">
        <v>49</v>
      </c>
      <c r="S185">
        <v>26.32</v>
      </c>
      <c r="T185">
        <v>1472.82</v>
      </c>
      <c r="U185">
        <v>44144</v>
      </c>
      <c r="V185" t="s">
        <v>25</v>
      </c>
      <c r="W185" t="s">
        <v>30</v>
      </c>
    </row>
    <row r="186" spans="1:23" x14ac:dyDescent="0.35">
      <c r="A186">
        <v>4785</v>
      </c>
      <c r="B186" t="s">
        <v>51</v>
      </c>
      <c r="C186">
        <v>0</v>
      </c>
      <c r="D186" t="s">
        <v>25</v>
      </c>
      <c r="E186" t="s">
        <v>25</v>
      </c>
      <c r="F186">
        <v>39</v>
      </c>
      <c r="G186" t="s">
        <v>26</v>
      </c>
      <c r="H186" t="s">
        <v>26</v>
      </c>
      <c r="I186" t="s">
        <v>27</v>
      </c>
      <c r="J186" t="s">
        <v>25</v>
      </c>
      <c r="K186" t="s">
        <v>26</v>
      </c>
      <c r="L186" t="s">
        <v>25</v>
      </c>
      <c r="M186" t="s">
        <v>25</v>
      </c>
      <c r="N186" t="s">
        <v>37</v>
      </c>
      <c r="O186" t="s">
        <v>26</v>
      </c>
      <c r="P186" t="s">
        <v>32</v>
      </c>
      <c r="Q186" t="s">
        <v>25</v>
      </c>
      <c r="R186" t="s">
        <v>49</v>
      </c>
      <c r="S186">
        <v>47.12</v>
      </c>
      <c r="T186">
        <v>3979.61</v>
      </c>
      <c r="U186">
        <v>43863</v>
      </c>
      <c r="V186" t="s">
        <v>25</v>
      </c>
      <c r="W186" t="s">
        <v>30</v>
      </c>
    </row>
    <row r="187" spans="1:23" x14ac:dyDescent="0.35">
      <c r="A187">
        <v>9047</v>
      </c>
      <c r="B187" t="s">
        <v>31</v>
      </c>
      <c r="C187">
        <v>0</v>
      </c>
      <c r="D187" t="s">
        <v>25</v>
      </c>
      <c r="E187" t="s">
        <v>25</v>
      </c>
      <c r="F187">
        <v>70</v>
      </c>
      <c r="G187" t="s">
        <v>26</v>
      </c>
      <c r="H187" t="s">
        <v>25</v>
      </c>
      <c r="I187" t="s">
        <v>25</v>
      </c>
      <c r="J187" t="s">
        <v>25</v>
      </c>
      <c r="K187" t="s">
        <v>26</v>
      </c>
      <c r="L187" t="s">
        <v>37</v>
      </c>
      <c r="M187" t="s">
        <v>25</v>
      </c>
      <c r="N187" t="s">
        <v>25</v>
      </c>
      <c r="O187" t="s">
        <v>36</v>
      </c>
      <c r="P187" t="s">
        <v>32</v>
      </c>
      <c r="Q187" t="s">
        <v>25</v>
      </c>
      <c r="R187" t="s">
        <v>39</v>
      </c>
      <c r="S187">
        <v>42</v>
      </c>
      <c r="T187">
        <v>4389.83</v>
      </c>
      <c r="U187">
        <v>44834</v>
      </c>
      <c r="V187" t="s">
        <v>25</v>
      </c>
      <c r="W187" t="s">
        <v>30</v>
      </c>
    </row>
    <row r="188" spans="1:23" x14ac:dyDescent="0.35">
      <c r="A188">
        <v>10469</v>
      </c>
      <c r="B188" t="s">
        <v>31</v>
      </c>
      <c r="C188">
        <v>0</v>
      </c>
      <c r="D188" t="s">
        <v>38</v>
      </c>
      <c r="E188" t="s">
        <v>25</v>
      </c>
      <c r="F188">
        <v>0</v>
      </c>
      <c r="G188" t="s">
        <v>26</v>
      </c>
      <c r="H188" t="s">
        <v>26</v>
      </c>
      <c r="I188" t="s">
        <v>27</v>
      </c>
      <c r="J188" t="s">
        <v>37</v>
      </c>
      <c r="K188" t="s">
        <v>26</v>
      </c>
      <c r="L188" t="s">
        <v>37</v>
      </c>
      <c r="M188" t="s">
        <v>26</v>
      </c>
      <c r="N188" t="s">
        <v>36</v>
      </c>
      <c r="O188" t="s">
        <v>37</v>
      </c>
      <c r="P188" t="s">
        <v>28</v>
      </c>
      <c r="Q188" t="s">
        <v>25</v>
      </c>
      <c r="R188" t="s">
        <v>29</v>
      </c>
      <c r="S188">
        <v>77.52</v>
      </c>
      <c r="T188">
        <v>5211.47</v>
      </c>
      <c r="U188">
        <v>45203</v>
      </c>
      <c r="V188" t="s">
        <v>25</v>
      </c>
      <c r="W188" t="s">
        <v>30</v>
      </c>
    </row>
    <row r="189" spans="1:23" x14ac:dyDescent="0.35">
      <c r="A189">
        <v>10832</v>
      </c>
      <c r="B189" t="s">
        <v>46</v>
      </c>
      <c r="C189" t="s">
        <v>25</v>
      </c>
      <c r="D189" t="s">
        <v>25</v>
      </c>
      <c r="E189" t="s">
        <v>36</v>
      </c>
      <c r="F189">
        <v>67</v>
      </c>
      <c r="G189" t="s">
        <v>26</v>
      </c>
      <c r="H189" t="s">
        <v>26</v>
      </c>
      <c r="I189" t="s">
        <v>35</v>
      </c>
      <c r="J189" t="s">
        <v>25</v>
      </c>
      <c r="K189" t="s">
        <v>37</v>
      </c>
      <c r="L189" t="s">
        <v>26</v>
      </c>
      <c r="M189" t="s">
        <v>25</v>
      </c>
      <c r="N189" t="s">
        <v>25</v>
      </c>
      <c r="O189" t="s">
        <v>25</v>
      </c>
      <c r="P189" t="s">
        <v>32</v>
      </c>
      <c r="Q189" t="s">
        <v>26</v>
      </c>
      <c r="R189" t="s">
        <v>49</v>
      </c>
      <c r="S189">
        <v>57.45</v>
      </c>
      <c r="T189">
        <v>7251.26</v>
      </c>
      <c r="U189">
        <v>44361</v>
      </c>
      <c r="V189" t="s">
        <v>25</v>
      </c>
      <c r="W189" t="s">
        <v>30</v>
      </c>
    </row>
    <row r="190" spans="1:23" x14ac:dyDescent="0.35">
      <c r="A190">
        <v>3704</v>
      </c>
      <c r="B190" t="s">
        <v>34</v>
      </c>
      <c r="C190" t="s">
        <v>26</v>
      </c>
      <c r="D190" t="s">
        <v>25</v>
      </c>
      <c r="E190" t="s">
        <v>26</v>
      </c>
      <c r="F190">
        <v>71</v>
      </c>
      <c r="G190" t="s">
        <v>26</v>
      </c>
      <c r="H190" t="s">
        <v>25</v>
      </c>
      <c r="I190" t="s">
        <v>27</v>
      </c>
      <c r="J190" t="s">
        <v>36</v>
      </c>
      <c r="K190" t="s">
        <v>37</v>
      </c>
      <c r="L190" t="s">
        <v>25</v>
      </c>
      <c r="M190" t="s">
        <v>26</v>
      </c>
      <c r="N190" t="s">
        <v>26</v>
      </c>
      <c r="O190" t="s">
        <v>25</v>
      </c>
      <c r="P190" t="s">
        <v>42</v>
      </c>
      <c r="Q190" t="s">
        <v>26</v>
      </c>
      <c r="R190" t="s">
        <v>39</v>
      </c>
      <c r="S190">
        <v>29.52</v>
      </c>
      <c r="T190">
        <v>1876</v>
      </c>
      <c r="U190">
        <v>45425</v>
      </c>
      <c r="V190" t="s">
        <v>25</v>
      </c>
      <c r="W190" t="s">
        <v>30</v>
      </c>
    </row>
    <row r="191" spans="1:23" x14ac:dyDescent="0.35">
      <c r="A191">
        <v>18673</v>
      </c>
      <c r="B191" t="s">
        <v>31</v>
      </c>
      <c r="C191" t="s">
        <v>25</v>
      </c>
      <c r="D191" t="s">
        <v>25</v>
      </c>
      <c r="E191" t="s">
        <v>25</v>
      </c>
      <c r="F191">
        <v>4</v>
      </c>
      <c r="G191" t="s">
        <v>26</v>
      </c>
      <c r="H191" t="s">
        <v>38</v>
      </c>
      <c r="I191" t="s">
        <v>35</v>
      </c>
      <c r="J191" t="s">
        <v>26</v>
      </c>
      <c r="K191" t="s">
        <v>37</v>
      </c>
      <c r="L191" t="s">
        <v>26</v>
      </c>
      <c r="M191" t="s">
        <v>25</v>
      </c>
      <c r="N191" t="s">
        <v>26</v>
      </c>
      <c r="O191" t="s">
        <v>26</v>
      </c>
      <c r="P191" t="s">
        <v>45</v>
      </c>
      <c r="Q191" t="s">
        <v>26</v>
      </c>
      <c r="R191" t="s">
        <v>39</v>
      </c>
      <c r="S191">
        <v>110.73</v>
      </c>
      <c r="T191">
        <v>4635.54</v>
      </c>
      <c r="U191">
        <v>45549</v>
      </c>
      <c r="V191" t="s">
        <v>25</v>
      </c>
      <c r="W191" t="s">
        <v>30</v>
      </c>
    </row>
    <row r="192" spans="1:23" x14ac:dyDescent="0.35">
      <c r="A192">
        <v>20521</v>
      </c>
      <c r="B192" t="s">
        <v>46</v>
      </c>
      <c r="C192">
        <v>1</v>
      </c>
      <c r="D192" t="s">
        <v>26</v>
      </c>
      <c r="E192" t="s">
        <v>25</v>
      </c>
      <c r="F192">
        <v>48</v>
      </c>
      <c r="G192" t="s">
        <v>26</v>
      </c>
      <c r="H192" t="s">
        <v>26</v>
      </c>
      <c r="I192" t="s">
        <v>35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32</v>
      </c>
      <c r="Q192" t="s">
        <v>26</v>
      </c>
      <c r="R192" t="s">
        <v>49</v>
      </c>
      <c r="S192">
        <v>109.39</v>
      </c>
      <c r="T192">
        <v>5470.2</v>
      </c>
      <c r="U192">
        <v>44045</v>
      </c>
      <c r="V192" t="s">
        <v>25</v>
      </c>
      <c r="W192" t="s">
        <v>30</v>
      </c>
    </row>
    <row r="193" spans="1:23" x14ac:dyDescent="0.35">
      <c r="A193">
        <v>19241</v>
      </c>
      <c r="B193" t="s">
        <v>31</v>
      </c>
      <c r="C193">
        <v>0</v>
      </c>
      <c r="D193" t="s">
        <v>25</v>
      </c>
      <c r="E193" t="s">
        <v>25</v>
      </c>
      <c r="F193">
        <v>10</v>
      </c>
      <c r="G193" t="s">
        <v>26</v>
      </c>
      <c r="H193" t="s">
        <v>26</v>
      </c>
      <c r="I193" t="s">
        <v>27</v>
      </c>
      <c r="J193" t="s">
        <v>37</v>
      </c>
      <c r="K193" t="s">
        <v>25</v>
      </c>
      <c r="L193" t="s">
        <v>26</v>
      </c>
      <c r="M193" t="s">
        <v>26</v>
      </c>
      <c r="N193" t="s">
        <v>25</v>
      </c>
      <c r="O193" t="s">
        <v>37</v>
      </c>
      <c r="P193" t="s">
        <v>32</v>
      </c>
      <c r="Q193" t="s">
        <v>26</v>
      </c>
      <c r="R193" t="s">
        <v>39</v>
      </c>
      <c r="T193">
        <v>1490.6</v>
      </c>
      <c r="U193">
        <v>44358</v>
      </c>
      <c r="V193" t="s">
        <v>25</v>
      </c>
      <c r="W193" t="s">
        <v>30</v>
      </c>
    </row>
    <row r="194" spans="1:23" x14ac:dyDescent="0.35">
      <c r="A194">
        <v>4044</v>
      </c>
      <c r="B194" t="s">
        <v>31</v>
      </c>
      <c r="C194">
        <v>1</v>
      </c>
      <c r="D194" t="s">
        <v>26</v>
      </c>
      <c r="E194" t="s">
        <v>26</v>
      </c>
      <c r="F194">
        <v>4</v>
      </c>
      <c r="G194" t="s">
        <v>26</v>
      </c>
      <c r="H194" t="s">
        <v>25</v>
      </c>
      <c r="I194" t="s">
        <v>27</v>
      </c>
      <c r="J194" t="s">
        <v>26</v>
      </c>
      <c r="K194" t="s">
        <v>36</v>
      </c>
      <c r="L194" t="s">
        <v>26</v>
      </c>
      <c r="M194" t="s">
        <v>25</v>
      </c>
      <c r="N194" t="s">
        <v>25</v>
      </c>
      <c r="O194" t="s">
        <v>25</v>
      </c>
      <c r="P194" t="s">
        <v>32</v>
      </c>
      <c r="Q194" t="s">
        <v>26</v>
      </c>
      <c r="R194" t="s">
        <v>29</v>
      </c>
      <c r="S194">
        <v>40.64</v>
      </c>
      <c r="T194">
        <v>4372.59</v>
      </c>
      <c r="U194">
        <v>45477</v>
      </c>
      <c r="V194" t="s">
        <v>25</v>
      </c>
      <c r="W194" t="s">
        <v>30</v>
      </c>
    </row>
    <row r="195" spans="1:23" x14ac:dyDescent="0.35">
      <c r="A195">
        <v>20172</v>
      </c>
      <c r="B195" t="s">
        <v>0</v>
      </c>
      <c r="C195">
        <v>0</v>
      </c>
      <c r="D195" t="s">
        <v>25</v>
      </c>
      <c r="E195" t="s">
        <v>25</v>
      </c>
      <c r="F195">
        <v>40</v>
      </c>
      <c r="G195" t="s">
        <v>26</v>
      </c>
      <c r="H195" t="s">
        <v>47</v>
      </c>
      <c r="I195" t="s">
        <v>25</v>
      </c>
      <c r="J195" t="s">
        <v>26</v>
      </c>
      <c r="K195" t="s">
        <v>26</v>
      </c>
      <c r="L195" t="s">
        <v>37</v>
      </c>
      <c r="M195" t="s">
        <v>25</v>
      </c>
      <c r="N195" t="s">
        <v>37</v>
      </c>
      <c r="O195" t="s">
        <v>25</v>
      </c>
      <c r="P195" t="s">
        <v>28</v>
      </c>
      <c r="Q195" t="s">
        <v>26</v>
      </c>
      <c r="R195" t="s">
        <v>49</v>
      </c>
      <c r="S195">
        <v>104.11</v>
      </c>
      <c r="T195">
        <v>6575.51</v>
      </c>
      <c r="U195">
        <v>44175</v>
      </c>
      <c r="V195" t="s">
        <v>25</v>
      </c>
      <c r="W195" t="s">
        <v>30</v>
      </c>
    </row>
    <row r="196" spans="1:23" x14ac:dyDescent="0.35">
      <c r="A196">
        <v>15951</v>
      </c>
      <c r="B196" t="s">
        <v>31</v>
      </c>
      <c r="C196">
        <v>0</v>
      </c>
      <c r="D196" t="s">
        <v>38</v>
      </c>
      <c r="E196" t="s">
        <v>25</v>
      </c>
      <c r="F196">
        <v>71</v>
      </c>
      <c r="G196" t="s">
        <v>26</v>
      </c>
      <c r="H196" t="s">
        <v>25</v>
      </c>
      <c r="I196" t="s">
        <v>35</v>
      </c>
      <c r="J196" t="s">
        <v>37</v>
      </c>
      <c r="K196" t="s">
        <v>26</v>
      </c>
      <c r="L196" t="s">
        <v>26</v>
      </c>
      <c r="M196" t="s">
        <v>25</v>
      </c>
      <c r="N196" t="s">
        <v>37</v>
      </c>
      <c r="O196" t="s">
        <v>26</v>
      </c>
      <c r="P196" t="s">
        <v>32</v>
      </c>
      <c r="Q196" t="s">
        <v>25</v>
      </c>
      <c r="R196" t="s">
        <v>39</v>
      </c>
      <c r="S196">
        <v>79.17</v>
      </c>
      <c r="T196">
        <v>2562.71</v>
      </c>
      <c r="U196">
        <v>45331</v>
      </c>
      <c r="V196" t="s">
        <v>25</v>
      </c>
      <c r="W196" t="s">
        <v>30</v>
      </c>
    </row>
    <row r="197" spans="1:23" x14ac:dyDescent="0.35">
      <c r="A197">
        <v>3320</v>
      </c>
      <c r="B197" t="s">
        <v>31</v>
      </c>
      <c r="C197">
        <v>0</v>
      </c>
      <c r="D197" t="s">
        <v>26</v>
      </c>
      <c r="E197" t="s">
        <v>26</v>
      </c>
      <c r="F197">
        <v>30</v>
      </c>
      <c r="G197" t="s">
        <v>38</v>
      </c>
      <c r="H197" t="s">
        <v>26</v>
      </c>
      <c r="I197" t="s">
        <v>25</v>
      </c>
      <c r="J197" t="s">
        <v>37</v>
      </c>
      <c r="K197" t="s">
        <v>37</v>
      </c>
      <c r="L197" t="s">
        <v>25</v>
      </c>
      <c r="M197" t="s">
        <v>25</v>
      </c>
      <c r="N197" t="s">
        <v>25</v>
      </c>
      <c r="O197" t="s">
        <v>26</v>
      </c>
      <c r="P197" t="s">
        <v>32</v>
      </c>
      <c r="Q197" t="s">
        <v>26</v>
      </c>
      <c r="R197" t="s">
        <v>33</v>
      </c>
      <c r="S197">
        <v>76.19</v>
      </c>
      <c r="T197">
        <v>4927.87</v>
      </c>
      <c r="U197">
        <v>45187</v>
      </c>
      <c r="V197" t="s">
        <v>25</v>
      </c>
      <c r="W197" t="s">
        <v>30</v>
      </c>
    </row>
    <row r="198" spans="1:23" x14ac:dyDescent="0.35">
      <c r="A198">
        <v>2490</v>
      </c>
      <c r="B198" t="s">
        <v>31</v>
      </c>
      <c r="C198">
        <v>0</v>
      </c>
      <c r="D198" t="s">
        <v>26</v>
      </c>
      <c r="E198" t="s">
        <v>26</v>
      </c>
      <c r="F198">
        <v>41</v>
      </c>
      <c r="G198" t="s">
        <v>26</v>
      </c>
      <c r="H198" t="s">
        <v>25</v>
      </c>
      <c r="I198" t="s">
        <v>25</v>
      </c>
      <c r="J198" t="s">
        <v>25</v>
      </c>
      <c r="K198" t="s">
        <v>26</v>
      </c>
      <c r="L198" t="s">
        <v>38</v>
      </c>
      <c r="M198" t="s">
        <v>25</v>
      </c>
      <c r="N198" t="s">
        <v>37</v>
      </c>
      <c r="O198" t="s">
        <v>37</v>
      </c>
      <c r="P198" t="s">
        <v>28</v>
      </c>
      <c r="Q198" t="s">
        <v>26</v>
      </c>
      <c r="R198" t="s">
        <v>43</v>
      </c>
      <c r="S198">
        <v>66.430000000000007</v>
      </c>
      <c r="T198">
        <v>7615.74</v>
      </c>
      <c r="U198">
        <v>45561</v>
      </c>
      <c r="V198" t="s">
        <v>25</v>
      </c>
      <c r="W198" t="s">
        <v>30</v>
      </c>
    </row>
    <row r="199" spans="1:23" x14ac:dyDescent="0.35">
      <c r="A199">
        <v>4019</v>
      </c>
      <c r="B199" t="s">
        <v>34</v>
      </c>
      <c r="C199">
        <v>0</v>
      </c>
      <c r="D199" t="s">
        <v>26</v>
      </c>
      <c r="E199" t="s">
        <v>25</v>
      </c>
      <c r="F199">
        <v>8</v>
      </c>
      <c r="G199" t="s">
        <v>26</v>
      </c>
      <c r="H199" t="s">
        <v>36</v>
      </c>
      <c r="I199" t="s">
        <v>40</v>
      </c>
      <c r="J199" t="s">
        <v>37</v>
      </c>
      <c r="K199" t="s">
        <v>25</v>
      </c>
      <c r="L199" t="s">
        <v>36</v>
      </c>
      <c r="M199" t="s">
        <v>37</v>
      </c>
      <c r="N199" t="s">
        <v>25</v>
      </c>
      <c r="O199" t="s">
        <v>25</v>
      </c>
      <c r="P199" t="s">
        <v>32</v>
      </c>
      <c r="Q199" t="s">
        <v>26</v>
      </c>
      <c r="R199" t="s">
        <v>43</v>
      </c>
      <c r="S199">
        <v>24.07</v>
      </c>
      <c r="T199">
        <v>3286.98</v>
      </c>
      <c r="U199">
        <v>45107</v>
      </c>
      <c r="V199" t="s">
        <v>25</v>
      </c>
      <c r="W199" t="s">
        <v>30</v>
      </c>
    </row>
    <row r="200" spans="1:23" x14ac:dyDescent="0.35">
      <c r="A200">
        <v>2494</v>
      </c>
      <c r="B200" t="s">
        <v>34</v>
      </c>
      <c r="C200" t="s">
        <v>26</v>
      </c>
      <c r="D200" t="s">
        <v>25</v>
      </c>
      <c r="E200" t="s">
        <v>25</v>
      </c>
      <c r="F200">
        <v>29</v>
      </c>
      <c r="G200" t="s">
        <v>25</v>
      </c>
      <c r="H200" t="s">
        <v>47</v>
      </c>
      <c r="I200" t="s">
        <v>52</v>
      </c>
      <c r="J200" t="s">
        <v>36</v>
      </c>
      <c r="K200" t="s">
        <v>37</v>
      </c>
      <c r="L200" t="s">
        <v>36</v>
      </c>
      <c r="M200" t="s">
        <v>37</v>
      </c>
      <c r="N200" t="s">
        <v>25</v>
      </c>
      <c r="O200" t="s">
        <v>25</v>
      </c>
      <c r="P200" t="s">
        <v>28</v>
      </c>
      <c r="Q200" t="s">
        <v>26</v>
      </c>
      <c r="R200" t="s">
        <v>49</v>
      </c>
      <c r="S200">
        <v>58.36</v>
      </c>
      <c r="T200">
        <v>4393.1499999999996</v>
      </c>
      <c r="U200">
        <v>44766</v>
      </c>
      <c r="V200" t="s">
        <v>25</v>
      </c>
      <c r="W200" t="s">
        <v>30</v>
      </c>
    </row>
    <row r="201" spans="1:23" x14ac:dyDescent="0.35">
      <c r="A201">
        <v>20267</v>
      </c>
      <c r="B201" t="s">
        <v>34</v>
      </c>
      <c r="C201">
        <v>0</v>
      </c>
      <c r="D201" t="s">
        <v>25</v>
      </c>
      <c r="E201" t="s">
        <v>25</v>
      </c>
      <c r="F201">
        <v>54</v>
      </c>
      <c r="G201" t="s">
        <v>26</v>
      </c>
      <c r="H201" t="s">
        <v>26</v>
      </c>
      <c r="I201" t="s">
        <v>27</v>
      </c>
      <c r="J201" t="s">
        <v>26</v>
      </c>
      <c r="K201" t="s">
        <v>26</v>
      </c>
      <c r="L201" t="s">
        <v>38</v>
      </c>
      <c r="M201" t="s">
        <v>36</v>
      </c>
      <c r="N201" t="s">
        <v>26</v>
      </c>
      <c r="O201" t="s">
        <v>36</v>
      </c>
      <c r="P201" t="s">
        <v>32</v>
      </c>
      <c r="Q201" t="s">
        <v>26</v>
      </c>
      <c r="R201" t="s">
        <v>49</v>
      </c>
      <c r="S201">
        <v>30.59</v>
      </c>
      <c r="T201">
        <v>6794.25</v>
      </c>
      <c r="U201">
        <v>45031</v>
      </c>
      <c r="V201" t="s">
        <v>25</v>
      </c>
      <c r="W201" t="s">
        <v>50</v>
      </c>
    </row>
    <row r="202" spans="1:23" x14ac:dyDescent="0.35">
      <c r="A202">
        <v>17240</v>
      </c>
      <c r="B202" t="s">
        <v>31</v>
      </c>
      <c r="C202">
        <v>0</v>
      </c>
      <c r="D202" t="s">
        <v>26</v>
      </c>
      <c r="E202" t="s">
        <v>25</v>
      </c>
      <c r="F202">
        <v>55</v>
      </c>
      <c r="G202" t="s">
        <v>26</v>
      </c>
      <c r="H202" t="s">
        <v>38</v>
      </c>
      <c r="I202" t="s">
        <v>35</v>
      </c>
      <c r="J202" t="s">
        <v>26</v>
      </c>
      <c r="K202" t="s">
        <v>26</v>
      </c>
      <c r="L202" t="s">
        <v>26</v>
      </c>
      <c r="M202" t="s">
        <v>37</v>
      </c>
      <c r="N202" t="s">
        <v>26</v>
      </c>
      <c r="O202" t="s">
        <v>26</v>
      </c>
      <c r="P202" t="s">
        <v>32</v>
      </c>
      <c r="Q202" t="s">
        <v>26</v>
      </c>
      <c r="R202" t="s">
        <v>39</v>
      </c>
      <c r="S202">
        <v>68.430000000000007</v>
      </c>
      <c r="T202">
        <v>7950.19</v>
      </c>
      <c r="U202">
        <v>45450</v>
      </c>
      <c r="V202" t="s">
        <v>25</v>
      </c>
      <c r="W202" t="s">
        <v>30</v>
      </c>
    </row>
    <row r="203" spans="1:23" x14ac:dyDescent="0.35">
      <c r="A203">
        <v>10661</v>
      </c>
      <c r="B203" t="s">
        <v>31</v>
      </c>
      <c r="C203">
        <v>0</v>
      </c>
      <c r="D203" t="s">
        <v>36</v>
      </c>
      <c r="E203" t="s">
        <v>26</v>
      </c>
      <c r="F203">
        <v>5</v>
      </c>
      <c r="G203" t="s">
        <v>25</v>
      </c>
      <c r="H203" t="s">
        <v>47</v>
      </c>
      <c r="I203" t="s">
        <v>27</v>
      </c>
      <c r="J203" t="s">
        <v>36</v>
      </c>
      <c r="K203" t="s">
        <v>37</v>
      </c>
      <c r="L203" t="s">
        <v>25</v>
      </c>
      <c r="M203" t="s">
        <v>25</v>
      </c>
      <c r="N203" t="s">
        <v>26</v>
      </c>
      <c r="O203" t="s">
        <v>26</v>
      </c>
      <c r="P203" t="s">
        <v>32</v>
      </c>
      <c r="Q203" t="s">
        <v>26</v>
      </c>
      <c r="R203" t="s">
        <v>49</v>
      </c>
      <c r="S203">
        <v>21.04</v>
      </c>
      <c r="T203">
        <v>2088.6799999999998</v>
      </c>
      <c r="U203">
        <v>45555</v>
      </c>
      <c r="V203" t="s">
        <v>25</v>
      </c>
      <c r="W203" t="s">
        <v>30</v>
      </c>
    </row>
    <row r="204" spans="1:23" x14ac:dyDescent="0.35">
      <c r="A204">
        <v>8004</v>
      </c>
      <c r="B204" t="s">
        <v>31</v>
      </c>
      <c r="C204">
        <v>0</v>
      </c>
      <c r="D204" t="s">
        <v>26</v>
      </c>
      <c r="E204" t="s">
        <v>26</v>
      </c>
      <c r="F204">
        <v>65</v>
      </c>
      <c r="G204" t="s">
        <v>26</v>
      </c>
      <c r="H204" t="s">
        <v>26</v>
      </c>
      <c r="I204" t="s">
        <v>27</v>
      </c>
      <c r="J204" t="s">
        <v>37</v>
      </c>
      <c r="K204" t="s">
        <v>25</v>
      </c>
      <c r="L204" t="s">
        <v>36</v>
      </c>
      <c r="M204" t="s">
        <v>37</v>
      </c>
      <c r="N204" t="s">
        <v>37</v>
      </c>
      <c r="O204" t="s">
        <v>38</v>
      </c>
      <c r="P204" t="s">
        <v>45</v>
      </c>
      <c r="Q204" t="s">
        <v>25</v>
      </c>
      <c r="R204" t="s">
        <v>49</v>
      </c>
      <c r="S204">
        <v>100.28</v>
      </c>
      <c r="T204">
        <v>1270.8900000000001</v>
      </c>
      <c r="U204">
        <v>44792</v>
      </c>
      <c r="V204" t="s">
        <v>25</v>
      </c>
      <c r="W204" t="s">
        <v>30</v>
      </c>
    </row>
    <row r="205" spans="1:23" x14ac:dyDescent="0.35">
      <c r="A205">
        <v>14164</v>
      </c>
      <c r="B205" t="s">
        <v>34</v>
      </c>
      <c r="C205">
        <v>1</v>
      </c>
      <c r="D205" t="s">
        <v>26</v>
      </c>
      <c r="E205" t="s">
        <v>36</v>
      </c>
      <c r="F205">
        <v>59</v>
      </c>
      <c r="G205" t="s">
        <v>26</v>
      </c>
      <c r="H205" t="s">
        <v>25</v>
      </c>
      <c r="I205" t="s">
        <v>35</v>
      </c>
      <c r="J205" t="s">
        <v>25</v>
      </c>
      <c r="K205" t="s">
        <v>26</v>
      </c>
      <c r="L205" t="s">
        <v>26</v>
      </c>
      <c r="M205" t="s">
        <v>25</v>
      </c>
      <c r="N205" t="s">
        <v>37</v>
      </c>
      <c r="O205" t="s">
        <v>26</v>
      </c>
      <c r="P205" t="s">
        <v>45</v>
      </c>
      <c r="Q205" t="s">
        <v>26</v>
      </c>
      <c r="R205" t="s">
        <v>49</v>
      </c>
      <c r="T205">
        <v>5900.31</v>
      </c>
      <c r="U205">
        <v>45113</v>
      </c>
      <c r="V205" t="s">
        <v>25</v>
      </c>
      <c r="W205" t="s">
        <v>30</v>
      </c>
    </row>
    <row r="206" spans="1:23" x14ac:dyDescent="0.35">
      <c r="A206">
        <v>1994</v>
      </c>
      <c r="B206" t="s">
        <v>31</v>
      </c>
      <c r="C206">
        <v>0</v>
      </c>
      <c r="D206" t="s">
        <v>26</v>
      </c>
      <c r="E206" t="s">
        <v>25</v>
      </c>
      <c r="F206">
        <v>56</v>
      </c>
      <c r="G206" t="s">
        <v>26</v>
      </c>
      <c r="H206" t="s">
        <v>26</v>
      </c>
      <c r="I206" t="s">
        <v>35</v>
      </c>
      <c r="J206" t="s">
        <v>25</v>
      </c>
      <c r="K206" t="s">
        <v>36</v>
      </c>
      <c r="L206" t="s">
        <v>26</v>
      </c>
      <c r="M206" t="s">
        <v>37</v>
      </c>
      <c r="N206" t="s">
        <v>25</v>
      </c>
      <c r="O206" t="s">
        <v>37</v>
      </c>
      <c r="P206" t="s">
        <v>28</v>
      </c>
      <c r="Q206" t="s">
        <v>26</v>
      </c>
      <c r="R206" t="s">
        <v>49</v>
      </c>
      <c r="T206">
        <v>3862.08</v>
      </c>
      <c r="U206">
        <v>44990</v>
      </c>
      <c r="V206" t="s">
        <v>26</v>
      </c>
      <c r="W206" t="s">
        <v>30</v>
      </c>
    </row>
    <row r="207" spans="1:23" x14ac:dyDescent="0.35">
      <c r="A207">
        <v>17480</v>
      </c>
      <c r="B207" t="s">
        <v>31</v>
      </c>
      <c r="C207">
        <v>0</v>
      </c>
      <c r="D207" t="s">
        <v>26</v>
      </c>
      <c r="E207" t="s">
        <v>25</v>
      </c>
      <c r="F207">
        <v>19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37</v>
      </c>
      <c r="N207" t="s">
        <v>25</v>
      </c>
      <c r="O207" t="s">
        <v>25</v>
      </c>
      <c r="P207" t="s">
        <v>28</v>
      </c>
      <c r="Q207" t="s">
        <v>25</v>
      </c>
      <c r="R207" t="s">
        <v>44</v>
      </c>
      <c r="S207">
        <v>67.989999999999995</v>
      </c>
      <c r="U207">
        <v>43864</v>
      </c>
      <c r="V207" t="s">
        <v>25</v>
      </c>
      <c r="W207" t="s">
        <v>30</v>
      </c>
    </row>
    <row r="208" spans="1:23" x14ac:dyDescent="0.35">
      <c r="A208">
        <v>9872</v>
      </c>
      <c r="B208" t="s">
        <v>34</v>
      </c>
      <c r="C208">
        <v>0</v>
      </c>
      <c r="D208" t="s">
        <v>36</v>
      </c>
      <c r="E208" t="s">
        <v>25</v>
      </c>
      <c r="F208">
        <v>53</v>
      </c>
      <c r="G208" t="s">
        <v>25</v>
      </c>
      <c r="H208" t="s">
        <v>38</v>
      </c>
      <c r="I208" t="s">
        <v>27</v>
      </c>
      <c r="J208" t="s">
        <v>26</v>
      </c>
      <c r="K208" t="s">
        <v>26</v>
      </c>
      <c r="L208" t="s">
        <v>26</v>
      </c>
      <c r="M208" t="s">
        <v>25</v>
      </c>
      <c r="N208" t="s">
        <v>37</v>
      </c>
      <c r="O208" t="s">
        <v>25</v>
      </c>
      <c r="P208" t="s">
        <v>32</v>
      </c>
      <c r="Q208" t="s">
        <v>25</v>
      </c>
      <c r="R208" t="s">
        <v>29</v>
      </c>
      <c r="S208">
        <v>65.680000000000007</v>
      </c>
      <c r="T208">
        <v>2297.7199999999998</v>
      </c>
      <c r="U208">
        <v>44332</v>
      </c>
      <c r="V208" t="s">
        <v>25</v>
      </c>
      <c r="W208" t="s">
        <v>30</v>
      </c>
    </row>
    <row r="209" spans="1:23" x14ac:dyDescent="0.35">
      <c r="A209">
        <v>13149</v>
      </c>
      <c r="B209" t="s">
        <v>34</v>
      </c>
      <c r="C209">
        <v>0</v>
      </c>
      <c r="D209" t="s">
        <v>26</v>
      </c>
      <c r="E209" t="s">
        <v>25</v>
      </c>
      <c r="F209">
        <v>1</v>
      </c>
      <c r="G209" t="s">
        <v>38</v>
      </c>
      <c r="H209" t="s">
        <v>47</v>
      </c>
      <c r="I209" t="s">
        <v>25</v>
      </c>
      <c r="J209" t="s">
        <v>25</v>
      </c>
      <c r="K209" t="s">
        <v>26</v>
      </c>
      <c r="L209" t="s">
        <v>26</v>
      </c>
      <c r="M209" t="s">
        <v>36</v>
      </c>
      <c r="N209" t="s">
        <v>36</v>
      </c>
      <c r="O209" t="s">
        <v>25</v>
      </c>
      <c r="P209" t="s">
        <v>48</v>
      </c>
      <c r="Q209" t="s">
        <v>26</v>
      </c>
      <c r="R209" t="s">
        <v>39</v>
      </c>
      <c r="S209">
        <v>117.99</v>
      </c>
      <c r="T209">
        <v>7966.04</v>
      </c>
      <c r="U209">
        <v>44997</v>
      </c>
      <c r="V209" t="s">
        <v>25</v>
      </c>
      <c r="W209" t="s">
        <v>30</v>
      </c>
    </row>
    <row r="210" spans="1:23" x14ac:dyDescent="0.35">
      <c r="A210">
        <v>7423</v>
      </c>
      <c r="B210" t="s">
        <v>34</v>
      </c>
      <c r="C210">
        <v>0</v>
      </c>
      <c r="D210" t="s">
        <v>25</v>
      </c>
      <c r="E210" t="s">
        <v>26</v>
      </c>
      <c r="F210">
        <v>70</v>
      </c>
      <c r="G210" t="s">
        <v>26</v>
      </c>
      <c r="H210" t="s">
        <v>26</v>
      </c>
      <c r="I210" t="s">
        <v>35</v>
      </c>
      <c r="J210" t="s">
        <v>26</v>
      </c>
      <c r="K210" t="s">
        <v>26</v>
      </c>
      <c r="L210" t="s">
        <v>26</v>
      </c>
      <c r="M210" t="s">
        <v>25</v>
      </c>
      <c r="N210" t="s">
        <v>37</v>
      </c>
      <c r="O210" t="s">
        <v>25</v>
      </c>
      <c r="P210" t="s">
        <v>41</v>
      </c>
      <c r="Q210" t="s">
        <v>25</v>
      </c>
      <c r="R210" t="s">
        <v>39</v>
      </c>
      <c r="S210">
        <v>68.12</v>
      </c>
      <c r="T210">
        <v>2915.56</v>
      </c>
      <c r="U210">
        <v>44645</v>
      </c>
      <c r="V210" t="s">
        <v>25</v>
      </c>
      <c r="W210" t="s">
        <v>30</v>
      </c>
    </row>
    <row r="211" spans="1:23" x14ac:dyDescent="0.35">
      <c r="A211">
        <v>20752</v>
      </c>
      <c r="B211" t="s">
        <v>34</v>
      </c>
      <c r="C211">
        <v>0</v>
      </c>
      <c r="D211" t="s">
        <v>26</v>
      </c>
      <c r="E211" t="s">
        <v>38</v>
      </c>
      <c r="F211">
        <v>56</v>
      </c>
      <c r="G211" t="s">
        <v>26</v>
      </c>
      <c r="H211" t="s">
        <v>26</v>
      </c>
      <c r="I211" t="s">
        <v>25</v>
      </c>
      <c r="J211" t="s">
        <v>37</v>
      </c>
      <c r="K211" t="s">
        <v>26</v>
      </c>
      <c r="L211" t="s">
        <v>38</v>
      </c>
      <c r="M211" t="s">
        <v>37</v>
      </c>
      <c r="N211" t="s">
        <v>25</v>
      </c>
      <c r="O211" t="s">
        <v>25</v>
      </c>
      <c r="P211" t="s">
        <v>45</v>
      </c>
      <c r="Q211" t="s">
        <v>25</v>
      </c>
      <c r="R211" t="s">
        <v>49</v>
      </c>
      <c r="S211">
        <v>79.62</v>
      </c>
      <c r="T211">
        <v>6645.32</v>
      </c>
      <c r="U211">
        <v>44701</v>
      </c>
      <c r="V211" t="s">
        <v>25</v>
      </c>
      <c r="W211" t="s">
        <v>30</v>
      </c>
    </row>
    <row r="212" spans="1:23" x14ac:dyDescent="0.35">
      <c r="A212">
        <v>15742</v>
      </c>
      <c r="B212" t="s">
        <v>31</v>
      </c>
      <c r="C212" t="s">
        <v>25</v>
      </c>
      <c r="D212" t="s">
        <v>26</v>
      </c>
      <c r="E212" t="s">
        <v>26</v>
      </c>
      <c r="F212">
        <v>1</v>
      </c>
      <c r="G212" t="s">
        <v>25</v>
      </c>
      <c r="H212" t="s">
        <v>26</v>
      </c>
      <c r="I212" t="s">
        <v>35</v>
      </c>
      <c r="J212" t="s">
        <v>25</v>
      </c>
      <c r="K212" t="s">
        <v>26</v>
      </c>
      <c r="L212" t="s">
        <v>26</v>
      </c>
      <c r="M212" t="s">
        <v>26</v>
      </c>
      <c r="N212" t="s">
        <v>25</v>
      </c>
      <c r="O212" t="s">
        <v>25</v>
      </c>
      <c r="P212" t="s">
        <v>32</v>
      </c>
      <c r="Q212" t="s">
        <v>26</v>
      </c>
      <c r="R212" t="s">
        <v>29</v>
      </c>
      <c r="S212">
        <v>35.659999999999997</v>
      </c>
      <c r="T212">
        <v>1441.23</v>
      </c>
      <c r="U212">
        <v>45554</v>
      </c>
      <c r="V212" t="s">
        <v>25</v>
      </c>
      <c r="W212" t="s">
        <v>30</v>
      </c>
    </row>
    <row r="213" spans="1:23" x14ac:dyDescent="0.35">
      <c r="A213">
        <v>12316</v>
      </c>
      <c r="B213" t="s">
        <v>31</v>
      </c>
      <c r="C213">
        <v>1</v>
      </c>
      <c r="D213" t="s">
        <v>26</v>
      </c>
      <c r="E213" t="s">
        <v>25</v>
      </c>
      <c r="F213">
        <v>65</v>
      </c>
      <c r="G213" t="s">
        <v>26</v>
      </c>
      <c r="H213" t="s">
        <v>25</v>
      </c>
      <c r="I213" t="s">
        <v>35</v>
      </c>
      <c r="J213" t="s">
        <v>25</v>
      </c>
      <c r="K213" t="s">
        <v>37</v>
      </c>
      <c r="L213" t="s">
        <v>26</v>
      </c>
      <c r="M213" t="s">
        <v>26</v>
      </c>
      <c r="N213" t="s">
        <v>37</v>
      </c>
      <c r="O213" t="s">
        <v>38</v>
      </c>
      <c r="P213" t="s">
        <v>28</v>
      </c>
      <c r="Q213" t="s">
        <v>25</v>
      </c>
      <c r="R213" t="s">
        <v>29</v>
      </c>
      <c r="T213">
        <v>4417.6400000000003</v>
      </c>
      <c r="U213">
        <v>45271</v>
      </c>
      <c r="V213" t="s">
        <v>25</v>
      </c>
      <c r="W213" t="s">
        <v>30</v>
      </c>
    </row>
    <row r="214" spans="1:23" x14ac:dyDescent="0.35">
      <c r="A214">
        <v>1475</v>
      </c>
      <c r="B214" t="s">
        <v>31</v>
      </c>
      <c r="C214">
        <v>0</v>
      </c>
      <c r="D214" t="s">
        <v>25</v>
      </c>
      <c r="E214" t="s">
        <v>25</v>
      </c>
      <c r="F214">
        <v>15</v>
      </c>
      <c r="G214" t="s">
        <v>26</v>
      </c>
      <c r="H214" t="s">
        <v>26</v>
      </c>
      <c r="I214" t="s">
        <v>35</v>
      </c>
      <c r="J214" t="s">
        <v>25</v>
      </c>
      <c r="K214" t="s">
        <v>26</v>
      </c>
      <c r="L214" t="s">
        <v>38</v>
      </c>
      <c r="M214" t="s">
        <v>37</v>
      </c>
      <c r="N214" t="s">
        <v>38</v>
      </c>
      <c r="O214" t="s">
        <v>25</v>
      </c>
      <c r="P214" t="s">
        <v>41</v>
      </c>
      <c r="Q214" t="s">
        <v>25</v>
      </c>
      <c r="R214" t="s">
        <v>39</v>
      </c>
      <c r="T214">
        <v>402.55</v>
      </c>
      <c r="U214">
        <v>45538</v>
      </c>
      <c r="V214" t="s">
        <v>26</v>
      </c>
      <c r="W214" t="s">
        <v>30</v>
      </c>
    </row>
    <row r="215" spans="1:23" x14ac:dyDescent="0.35">
      <c r="A215">
        <v>14740</v>
      </c>
      <c r="B215" t="s">
        <v>46</v>
      </c>
      <c r="C215" t="s">
        <v>25</v>
      </c>
      <c r="D215" t="s">
        <v>25</v>
      </c>
      <c r="E215" t="s">
        <v>25</v>
      </c>
      <c r="F215">
        <v>69</v>
      </c>
      <c r="G215" t="s">
        <v>26</v>
      </c>
      <c r="H215" t="s">
        <v>26</v>
      </c>
      <c r="I215" t="s">
        <v>27</v>
      </c>
      <c r="J215" t="s">
        <v>37</v>
      </c>
      <c r="K215" t="s">
        <v>25</v>
      </c>
      <c r="L215" t="s">
        <v>25</v>
      </c>
      <c r="M215" t="s">
        <v>37</v>
      </c>
      <c r="N215" t="s">
        <v>37</v>
      </c>
      <c r="O215" t="s">
        <v>25</v>
      </c>
      <c r="P215" t="s">
        <v>32</v>
      </c>
      <c r="Q215" t="s">
        <v>25</v>
      </c>
      <c r="R215" t="s">
        <v>49</v>
      </c>
      <c r="S215">
        <v>73.91</v>
      </c>
      <c r="T215">
        <v>2690.15</v>
      </c>
      <c r="U215">
        <v>44336</v>
      </c>
      <c r="V215" t="s">
        <v>25</v>
      </c>
      <c r="W215" t="s">
        <v>30</v>
      </c>
    </row>
    <row r="216" spans="1:23" x14ac:dyDescent="0.35">
      <c r="A216">
        <v>5149</v>
      </c>
      <c r="B216" t="s">
        <v>31</v>
      </c>
      <c r="C216">
        <v>0</v>
      </c>
      <c r="D216" t="s">
        <v>25</v>
      </c>
      <c r="E216" t="s">
        <v>25</v>
      </c>
      <c r="F216">
        <v>63</v>
      </c>
      <c r="G216" t="s">
        <v>26</v>
      </c>
      <c r="H216" t="s">
        <v>25</v>
      </c>
      <c r="I216" t="s">
        <v>25</v>
      </c>
      <c r="J216" t="s">
        <v>25</v>
      </c>
      <c r="K216" t="s">
        <v>25</v>
      </c>
      <c r="L216" t="s">
        <v>37</v>
      </c>
      <c r="M216" t="s">
        <v>36</v>
      </c>
      <c r="N216" t="s">
        <v>25</v>
      </c>
      <c r="O216" t="s">
        <v>25</v>
      </c>
      <c r="P216" t="s">
        <v>28</v>
      </c>
      <c r="Q216" t="s">
        <v>26</v>
      </c>
      <c r="R216" t="s">
        <v>33</v>
      </c>
      <c r="U216">
        <v>45155</v>
      </c>
      <c r="V216" t="s">
        <v>25</v>
      </c>
      <c r="W216" t="s">
        <v>30</v>
      </c>
    </row>
    <row r="217" spans="1:23" x14ac:dyDescent="0.35">
      <c r="A217">
        <v>18049</v>
      </c>
      <c r="B217" t="s">
        <v>31</v>
      </c>
      <c r="C217">
        <v>1</v>
      </c>
      <c r="D217" t="s">
        <v>25</v>
      </c>
      <c r="E217" t="s">
        <v>26</v>
      </c>
      <c r="F217">
        <v>62</v>
      </c>
      <c r="G217" t="s">
        <v>26</v>
      </c>
      <c r="H217" t="s">
        <v>25</v>
      </c>
      <c r="I217" t="s">
        <v>40</v>
      </c>
      <c r="J217" t="s">
        <v>26</v>
      </c>
      <c r="K217" t="s">
        <v>26</v>
      </c>
      <c r="L217" t="s">
        <v>25</v>
      </c>
      <c r="M217" t="s">
        <v>25</v>
      </c>
      <c r="N217" t="s">
        <v>25</v>
      </c>
      <c r="O217" t="s">
        <v>37</v>
      </c>
      <c r="P217" t="s">
        <v>48</v>
      </c>
      <c r="Q217" t="s">
        <v>26</v>
      </c>
      <c r="R217" t="s">
        <v>44</v>
      </c>
      <c r="S217">
        <v>60.84</v>
      </c>
      <c r="T217">
        <v>1782.03</v>
      </c>
      <c r="U217">
        <v>44469</v>
      </c>
      <c r="V217" t="s">
        <v>25</v>
      </c>
      <c r="W217" t="s">
        <v>30</v>
      </c>
    </row>
    <row r="218" spans="1:23" x14ac:dyDescent="0.35">
      <c r="A218">
        <v>5194</v>
      </c>
      <c r="B218" t="s">
        <v>31</v>
      </c>
      <c r="C218">
        <v>0</v>
      </c>
      <c r="D218" t="s">
        <v>36</v>
      </c>
      <c r="E218" t="s">
        <v>25</v>
      </c>
      <c r="F218">
        <v>36</v>
      </c>
      <c r="G218" t="s">
        <v>26</v>
      </c>
      <c r="H218" t="s">
        <v>25</v>
      </c>
      <c r="I218" t="s">
        <v>25</v>
      </c>
      <c r="J218" t="s">
        <v>25</v>
      </c>
      <c r="K218" t="s">
        <v>37</v>
      </c>
      <c r="L218" t="s">
        <v>25</v>
      </c>
      <c r="M218" t="s">
        <v>26</v>
      </c>
      <c r="N218" t="s">
        <v>36</v>
      </c>
      <c r="O218" t="s">
        <v>25</v>
      </c>
      <c r="P218" t="s">
        <v>32</v>
      </c>
      <c r="Q218" t="s">
        <v>25</v>
      </c>
      <c r="R218" t="s">
        <v>39</v>
      </c>
      <c r="S218">
        <v>56.72</v>
      </c>
      <c r="T218">
        <v>7788.3</v>
      </c>
      <c r="U218">
        <v>44254</v>
      </c>
      <c r="V218" t="s">
        <v>26</v>
      </c>
      <c r="W218" t="s">
        <v>30</v>
      </c>
    </row>
    <row r="219" spans="1:23" x14ac:dyDescent="0.35">
      <c r="A219">
        <v>7418</v>
      </c>
      <c r="B219" t="s">
        <v>0</v>
      </c>
      <c r="C219">
        <v>1</v>
      </c>
      <c r="D219" t="s">
        <v>25</v>
      </c>
      <c r="E219" t="s">
        <v>26</v>
      </c>
      <c r="F219">
        <v>0</v>
      </c>
      <c r="G219" t="s">
        <v>26</v>
      </c>
      <c r="H219" t="s">
        <v>47</v>
      </c>
      <c r="I219" t="s">
        <v>27</v>
      </c>
      <c r="J219" t="s">
        <v>26</v>
      </c>
      <c r="K219" t="s">
        <v>25</v>
      </c>
      <c r="L219" t="s">
        <v>25</v>
      </c>
      <c r="M219" t="s">
        <v>26</v>
      </c>
      <c r="N219" t="s">
        <v>37</v>
      </c>
      <c r="O219" t="s">
        <v>37</v>
      </c>
      <c r="P219" t="s">
        <v>28</v>
      </c>
      <c r="Q219" t="s">
        <v>26</v>
      </c>
      <c r="R219" t="s">
        <v>29</v>
      </c>
      <c r="S219">
        <v>34.96</v>
      </c>
      <c r="T219">
        <v>2534.58</v>
      </c>
      <c r="U219">
        <v>44932</v>
      </c>
      <c r="V219" t="s">
        <v>25</v>
      </c>
      <c r="W219" t="s">
        <v>30</v>
      </c>
    </row>
    <row r="220" spans="1:23" x14ac:dyDescent="0.35">
      <c r="A220">
        <v>15325</v>
      </c>
      <c r="B220" t="s">
        <v>1</v>
      </c>
      <c r="C220">
        <v>0</v>
      </c>
      <c r="D220" t="s">
        <v>25</v>
      </c>
      <c r="E220" t="s">
        <v>25</v>
      </c>
      <c r="F220">
        <v>34</v>
      </c>
      <c r="G220" t="s">
        <v>36</v>
      </c>
      <c r="H220" t="s">
        <v>47</v>
      </c>
      <c r="I220" t="s">
        <v>27</v>
      </c>
      <c r="J220" t="s">
        <v>25</v>
      </c>
      <c r="K220" t="s">
        <v>26</v>
      </c>
      <c r="L220" t="s">
        <v>25</v>
      </c>
      <c r="M220" t="s">
        <v>25</v>
      </c>
      <c r="N220" t="s">
        <v>26</v>
      </c>
      <c r="O220" t="s">
        <v>25</v>
      </c>
      <c r="P220" t="s">
        <v>41</v>
      </c>
      <c r="Q220" t="s">
        <v>26</v>
      </c>
      <c r="R220" t="s">
        <v>29</v>
      </c>
      <c r="S220">
        <v>119.82</v>
      </c>
      <c r="T220">
        <v>7065.54</v>
      </c>
      <c r="U220">
        <v>44713</v>
      </c>
      <c r="V220" t="s">
        <v>25</v>
      </c>
      <c r="W220" t="s">
        <v>30</v>
      </c>
    </row>
    <row r="221" spans="1:23" x14ac:dyDescent="0.35">
      <c r="A221">
        <v>16092</v>
      </c>
      <c r="B221" t="s">
        <v>31</v>
      </c>
      <c r="C221">
        <v>0</v>
      </c>
      <c r="D221" t="s">
        <v>25</v>
      </c>
      <c r="E221" t="s">
        <v>25</v>
      </c>
      <c r="F221">
        <v>69</v>
      </c>
      <c r="G221" t="s">
        <v>38</v>
      </c>
      <c r="H221" t="s">
        <v>47</v>
      </c>
      <c r="I221" t="s">
        <v>27</v>
      </c>
      <c r="J221" t="s">
        <v>26</v>
      </c>
      <c r="K221" t="s">
        <v>25</v>
      </c>
      <c r="L221" t="s">
        <v>37</v>
      </c>
      <c r="M221" t="s">
        <v>25</v>
      </c>
      <c r="N221" t="s">
        <v>26</v>
      </c>
      <c r="O221" t="s">
        <v>25</v>
      </c>
      <c r="P221" t="s">
        <v>42</v>
      </c>
      <c r="Q221" t="s">
        <v>25</v>
      </c>
      <c r="R221" t="s">
        <v>39</v>
      </c>
      <c r="S221">
        <v>52.67</v>
      </c>
      <c r="T221">
        <v>5098.8500000000004</v>
      </c>
      <c r="U221">
        <v>45562</v>
      </c>
      <c r="V221" t="s">
        <v>25</v>
      </c>
      <c r="W221" t="s">
        <v>30</v>
      </c>
    </row>
    <row r="222" spans="1:23" x14ac:dyDescent="0.35">
      <c r="A222">
        <v>14634</v>
      </c>
      <c r="B222" t="s">
        <v>31</v>
      </c>
      <c r="C222">
        <v>1</v>
      </c>
      <c r="D222" t="s">
        <v>25</v>
      </c>
      <c r="E222" t="s">
        <v>25</v>
      </c>
      <c r="F222">
        <v>59</v>
      </c>
      <c r="G222" t="s">
        <v>26</v>
      </c>
      <c r="H222" t="s">
        <v>26</v>
      </c>
      <c r="I222" t="s">
        <v>25</v>
      </c>
      <c r="J222" t="s">
        <v>25</v>
      </c>
      <c r="K222" t="s">
        <v>37</v>
      </c>
      <c r="L222" t="s">
        <v>25</v>
      </c>
      <c r="M222" t="s">
        <v>25</v>
      </c>
      <c r="N222" t="s">
        <v>25</v>
      </c>
      <c r="O222" t="s">
        <v>36</v>
      </c>
      <c r="P222" t="s">
        <v>42</v>
      </c>
      <c r="Q222" t="s">
        <v>25</v>
      </c>
      <c r="R222" t="s">
        <v>39</v>
      </c>
      <c r="S222">
        <v>76.37</v>
      </c>
      <c r="T222">
        <v>7277.19</v>
      </c>
      <c r="U222">
        <v>44932</v>
      </c>
      <c r="V222" t="s">
        <v>25</v>
      </c>
      <c r="W222" t="s">
        <v>30</v>
      </c>
    </row>
    <row r="223" spans="1:23" x14ac:dyDescent="0.35">
      <c r="A223">
        <v>9058</v>
      </c>
      <c r="B223" t="s">
        <v>34</v>
      </c>
      <c r="C223">
        <v>1</v>
      </c>
      <c r="D223" t="s">
        <v>25</v>
      </c>
      <c r="E223" t="s">
        <v>25</v>
      </c>
      <c r="F223">
        <v>70</v>
      </c>
      <c r="G223" t="s">
        <v>26</v>
      </c>
      <c r="H223" t="s">
        <v>25</v>
      </c>
      <c r="I223" t="s">
        <v>35</v>
      </c>
      <c r="J223" t="s">
        <v>26</v>
      </c>
      <c r="K223" t="s">
        <v>25</v>
      </c>
      <c r="L223" t="s">
        <v>25</v>
      </c>
      <c r="M223" t="s">
        <v>36</v>
      </c>
      <c r="N223" t="s">
        <v>25</v>
      </c>
      <c r="O223" t="s">
        <v>38</v>
      </c>
      <c r="P223" t="s">
        <v>32</v>
      </c>
      <c r="Q223" t="s">
        <v>25</v>
      </c>
      <c r="R223" t="s">
        <v>43</v>
      </c>
      <c r="S223">
        <v>20.8</v>
      </c>
      <c r="T223">
        <v>6724.79</v>
      </c>
      <c r="U223">
        <v>45533</v>
      </c>
      <c r="V223" t="s">
        <v>25</v>
      </c>
      <c r="W223" t="s">
        <v>30</v>
      </c>
    </row>
    <row r="224" spans="1:23" x14ac:dyDescent="0.35">
      <c r="A224">
        <v>9509</v>
      </c>
      <c r="B224" t="s">
        <v>0</v>
      </c>
      <c r="C224">
        <v>0</v>
      </c>
      <c r="D224" t="s">
        <v>25</v>
      </c>
      <c r="E224" t="s">
        <v>25</v>
      </c>
      <c r="F224">
        <v>20</v>
      </c>
      <c r="G224" t="s">
        <v>26</v>
      </c>
      <c r="H224" t="s">
        <v>47</v>
      </c>
      <c r="I224" t="s">
        <v>25</v>
      </c>
      <c r="J224" t="s">
        <v>25</v>
      </c>
      <c r="K224" t="s">
        <v>25</v>
      </c>
      <c r="L224" t="s">
        <v>38</v>
      </c>
      <c r="M224" t="s">
        <v>38</v>
      </c>
      <c r="N224" t="s">
        <v>38</v>
      </c>
      <c r="O224" t="s">
        <v>37</v>
      </c>
      <c r="P224" t="s">
        <v>41</v>
      </c>
      <c r="Q224" t="s">
        <v>25</v>
      </c>
      <c r="R224" t="s">
        <v>29</v>
      </c>
      <c r="S224">
        <v>24.22</v>
      </c>
      <c r="T224">
        <v>2958.63</v>
      </c>
      <c r="U224">
        <v>43870</v>
      </c>
      <c r="V224" t="s">
        <v>25</v>
      </c>
      <c r="W224" t="s">
        <v>30</v>
      </c>
    </row>
    <row r="225" spans="1:23" x14ac:dyDescent="0.35">
      <c r="A225">
        <v>3572</v>
      </c>
      <c r="B225" t="s">
        <v>0</v>
      </c>
      <c r="C225" t="s">
        <v>26</v>
      </c>
      <c r="D225" t="s">
        <v>25</v>
      </c>
      <c r="E225" t="s">
        <v>26</v>
      </c>
      <c r="F225">
        <v>50</v>
      </c>
      <c r="G225" t="s">
        <v>26</v>
      </c>
      <c r="H225" t="s">
        <v>26</v>
      </c>
      <c r="I225" t="s">
        <v>27</v>
      </c>
      <c r="J225" t="s">
        <v>25</v>
      </c>
      <c r="K225" t="s">
        <v>26</v>
      </c>
      <c r="L225" t="s">
        <v>25</v>
      </c>
      <c r="M225" t="s">
        <v>37</v>
      </c>
      <c r="N225" t="s">
        <v>25</v>
      </c>
      <c r="O225" t="s">
        <v>25</v>
      </c>
      <c r="P225" t="s">
        <v>28</v>
      </c>
      <c r="Q225" t="s">
        <v>25</v>
      </c>
      <c r="R225" t="s">
        <v>43</v>
      </c>
      <c r="S225">
        <v>116.27</v>
      </c>
      <c r="T225">
        <v>2856.9</v>
      </c>
      <c r="U225">
        <v>45411</v>
      </c>
      <c r="V225" t="s">
        <v>25</v>
      </c>
      <c r="W225" t="s">
        <v>50</v>
      </c>
    </row>
    <row r="226" spans="1:23" x14ac:dyDescent="0.35">
      <c r="A226">
        <v>6886</v>
      </c>
      <c r="B226" t="s">
        <v>31</v>
      </c>
      <c r="C226">
        <v>0</v>
      </c>
      <c r="D226" t="s">
        <v>25</v>
      </c>
      <c r="E226" t="s">
        <v>26</v>
      </c>
      <c r="F226">
        <v>56</v>
      </c>
      <c r="G226" t="s">
        <v>26</v>
      </c>
      <c r="H226" t="s">
        <v>26</v>
      </c>
      <c r="I226" t="s">
        <v>25</v>
      </c>
      <c r="J226" t="s">
        <v>25</v>
      </c>
      <c r="K226" t="s">
        <v>37</v>
      </c>
      <c r="L226" t="s">
        <v>37</v>
      </c>
      <c r="M226" t="s">
        <v>26</v>
      </c>
      <c r="N226" t="s">
        <v>26</v>
      </c>
      <c r="O226" t="s">
        <v>37</v>
      </c>
      <c r="P226" t="s">
        <v>28</v>
      </c>
      <c r="Q226" t="s">
        <v>26</v>
      </c>
      <c r="R226" t="s">
        <v>39</v>
      </c>
      <c r="S226">
        <v>92.36</v>
      </c>
      <c r="T226">
        <v>2025.18</v>
      </c>
      <c r="U226">
        <v>43976</v>
      </c>
      <c r="V226" t="s">
        <v>25</v>
      </c>
      <c r="W226" t="s">
        <v>30</v>
      </c>
    </row>
    <row r="227" spans="1:23" x14ac:dyDescent="0.35">
      <c r="A227">
        <v>6113</v>
      </c>
      <c r="B227" t="s">
        <v>31</v>
      </c>
      <c r="C227">
        <v>0</v>
      </c>
      <c r="D227" t="s">
        <v>26</v>
      </c>
      <c r="E227" t="s">
        <v>25</v>
      </c>
      <c r="F227">
        <v>25</v>
      </c>
      <c r="G227" t="s">
        <v>26</v>
      </c>
      <c r="H227" t="s">
        <v>25</v>
      </c>
      <c r="I227" t="s">
        <v>27</v>
      </c>
      <c r="J227" t="s">
        <v>37</v>
      </c>
      <c r="K227" t="s">
        <v>37</v>
      </c>
      <c r="L227" t="s">
        <v>38</v>
      </c>
      <c r="M227" t="s">
        <v>37</v>
      </c>
      <c r="N227" t="s">
        <v>25</v>
      </c>
      <c r="O227" t="s">
        <v>25</v>
      </c>
      <c r="P227" t="s">
        <v>45</v>
      </c>
      <c r="Q227" t="s">
        <v>25</v>
      </c>
      <c r="R227" t="s">
        <v>49</v>
      </c>
      <c r="S227">
        <v>108.33</v>
      </c>
      <c r="T227">
        <v>4711.95</v>
      </c>
      <c r="U227">
        <v>43901</v>
      </c>
      <c r="V227" t="s">
        <v>25</v>
      </c>
      <c r="W227" t="s">
        <v>30</v>
      </c>
    </row>
    <row r="228" spans="1:23" x14ac:dyDescent="0.35">
      <c r="A228">
        <v>11633</v>
      </c>
      <c r="B228" t="s">
        <v>34</v>
      </c>
      <c r="C228">
        <v>0</v>
      </c>
      <c r="D228" t="s">
        <v>26</v>
      </c>
      <c r="E228" t="s">
        <v>25</v>
      </c>
      <c r="F228">
        <v>145</v>
      </c>
      <c r="G228" t="s">
        <v>26</v>
      </c>
      <c r="H228" t="s">
        <v>26</v>
      </c>
      <c r="I228" t="s">
        <v>35</v>
      </c>
      <c r="J228" t="s">
        <v>25</v>
      </c>
      <c r="K228" t="s">
        <v>38</v>
      </c>
      <c r="L228" t="s">
        <v>37</v>
      </c>
      <c r="M228" t="s">
        <v>25</v>
      </c>
      <c r="N228" t="s">
        <v>37</v>
      </c>
      <c r="O228" t="s">
        <v>26</v>
      </c>
      <c r="P228" t="s">
        <v>41</v>
      </c>
      <c r="Q228" t="s">
        <v>26</v>
      </c>
      <c r="R228" t="s">
        <v>39</v>
      </c>
      <c r="T228">
        <v>5200.88</v>
      </c>
      <c r="U228">
        <v>44979</v>
      </c>
      <c r="V228" t="s">
        <v>25</v>
      </c>
      <c r="W228" t="s">
        <v>30</v>
      </c>
    </row>
    <row r="229" spans="1:23" x14ac:dyDescent="0.35">
      <c r="A229">
        <v>8713</v>
      </c>
      <c r="B229" t="s">
        <v>34</v>
      </c>
      <c r="C229">
        <v>0</v>
      </c>
      <c r="D229" t="s">
        <v>26</v>
      </c>
      <c r="E229" t="s">
        <v>25</v>
      </c>
      <c r="F229">
        <v>35</v>
      </c>
      <c r="G229" t="s">
        <v>26</v>
      </c>
      <c r="H229" t="s">
        <v>47</v>
      </c>
      <c r="I229" t="s">
        <v>35</v>
      </c>
      <c r="J229" t="s">
        <v>37</v>
      </c>
      <c r="K229" t="s">
        <v>26</v>
      </c>
      <c r="L229" t="s">
        <v>26</v>
      </c>
      <c r="M229" t="s">
        <v>25</v>
      </c>
      <c r="N229" t="s">
        <v>26</v>
      </c>
      <c r="O229" t="s">
        <v>26</v>
      </c>
      <c r="P229" t="s">
        <v>45</v>
      </c>
      <c r="Q229" t="s">
        <v>25</v>
      </c>
      <c r="R229" t="s">
        <v>39</v>
      </c>
      <c r="S229">
        <v>103.91</v>
      </c>
      <c r="T229">
        <v>7646.38</v>
      </c>
      <c r="U229">
        <v>44311</v>
      </c>
      <c r="V229" t="s">
        <v>25</v>
      </c>
      <c r="W229" t="s">
        <v>30</v>
      </c>
    </row>
    <row r="230" spans="1:23" x14ac:dyDescent="0.35">
      <c r="A230">
        <v>16332</v>
      </c>
      <c r="B230" t="s">
        <v>0</v>
      </c>
      <c r="C230">
        <v>0</v>
      </c>
      <c r="D230" t="s">
        <v>26</v>
      </c>
      <c r="E230" t="s">
        <v>26</v>
      </c>
      <c r="F230">
        <v>20</v>
      </c>
      <c r="G230" t="s">
        <v>36</v>
      </c>
      <c r="H230" t="s">
        <v>26</v>
      </c>
      <c r="I230" t="s">
        <v>35</v>
      </c>
      <c r="J230" t="s">
        <v>26</v>
      </c>
      <c r="K230" t="s">
        <v>37</v>
      </c>
      <c r="L230" t="s">
        <v>25</v>
      </c>
      <c r="M230" t="s">
        <v>26</v>
      </c>
      <c r="N230" t="s">
        <v>25</v>
      </c>
      <c r="O230" t="s">
        <v>26</v>
      </c>
      <c r="P230" t="s">
        <v>41</v>
      </c>
      <c r="Q230" t="s">
        <v>25</v>
      </c>
      <c r="R230" t="s">
        <v>33</v>
      </c>
      <c r="S230">
        <v>82.76</v>
      </c>
      <c r="T230">
        <v>5776.5</v>
      </c>
      <c r="U230">
        <v>44406</v>
      </c>
      <c r="V230" t="s">
        <v>25</v>
      </c>
      <c r="W230" t="s">
        <v>30</v>
      </c>
    </row>
    <row r="231" spans="1:23" x14ac:dyDescent="0.35">
      <c r="A231">
        <v>7389</v>
      </c>
      <c r="B231" t="s">
        <v>34</v>
      </c>
      <c r="C231" t="s">
        <v>26</v>
      </c>
      <c r="D231" t="s">
        <v>25</v>
      </c>
      <c r="E231" t="s">
        <v>25</v>
      </c>
      <c r="F231">
        <v>36</v>
      </c>
      <c r="G231" t="s">
        <v>26</v>
      </c>
      <c r="H231" t="s">
        <v>26</v>
      </c>
      <c r="I231" t="s">
        <v>35</v>
      </c>
      <c r="J231" t="s">
        <v>36</v>
      </c>
      <c r="K231" t="s">
        <v>25</v>
      </c>
      <c r="L231" t="s">
        <v>25</v>
      </c>
      <c r="M231" t="s">
        <v>25</v>
      </c>
      <c r="N231" t="s">
        <v>26</v>
      </c>
      <c r="O231" t="s">
        <v>37</v>
      </c>
      <c r="P231" t="s">
        <v>45</v>
      </c>
      <c r="Q231" t="s">
        <v>25</v>
      </c>
      <c r="R231" t="s">
        <v>43</v>
      </c>
      <c r="S231">
        <v>110.37</v>
      </c>
      <c r="T231">
        <v>3748.93</v>
      </c>
      <c r="U231">
        <v>44075</v>
      </c>
      <c r="V231" t="s">
        <v>25</v>
      </c>
      <c r="W231" t="s">
        <v>30</v>
      </c>
    </row>
    <row r="232" spans="1:23" x14ac:dyDescent="0.35">
      <c r="A232">
        <v>19938</v>
      </c>
      <c r="B232" t="s">
        <v>0</v>
      </c>
      <c r="C232">
        <v>0</v>
      </c>
      <c r="D232" t="s">
        <v>26</v>
      </c>
      <c r="E232" t="s">
        <v>38</v>
      </c>
      <c r="F232">
        <v>4</v>
      </c>
      <c r="G232" t="s">
        <v>26</v>
      </c>
      <c r="H232" t="s">
        <v>47</v>
      </c>
      <c r="I232" t="s">
        <v>25</v>
      </c>
      <c r="J232" t="s">
        <v>25</v>
      </c>
      <c r="K232" t="s">
        <v>37</v>
      </c>
      <c r="L232" t="s">
        <v>25</v>
      </c>
      <c r="M232" t="s">
        <v>26</v>
      </c>
      <c r="N232" t="s">
        <v>25</v>
      </c>
      <c r="O232" t="s">
        <v>37</v>
      </c>
      <c r="P232" t="s">
        <v>28</v>
      </c>
      <c r="Q232" t="s">
        <v>25</v>
      </c>
      <c r="R232" t="s">
        <v>33</v>
      </c>
      <c r="T232">
        <v>3903.3</v>
      </c>
      <c r="U232">
        <v>45014</v>
      </c>
      <c r="V232" t="s">
        <v>25</v>
      </c>
      <c r="W232" t="s">
        <v>30</v>
      </c>
    </row>
    <row r="233" spans="1:23" x14ac:dyDescent="0.35">
      <c r="A233">
        <v>14638</v>
      </c>
      <c r="B233" t="s">
        <v>31</v>
      </c>
      <c r="C233" t="s">
        <v>25</v>
      </c>
      <c r="D233" t="s">
        <v>25</v>
      </c>
      <c r="E233" t="s">
        <v>26</v>
      </c>
      <c r="F233">
        <v>13</v>
      </c>
      <c r="G233" t="s">
        <v>26</v>
      </c>
      <c r="H233" t="s">
        <v>47</v>
      </c>
      <c r="I233" t="s">
        <v>27</v>
      </c>
      <c r="J233" t="s">
        <v>37</v>
      </c>
      <c r="K233" t="s">
        <v>26</v>
      </c>
      <c r="L233" t="s">
        <v>26</v>
      </c>
      <c r="M233" t="s">
        <v>25</v>
      </c>
      <c r="N233" t="s">
        <v>26</v>
      </c>
      <c r="O233" t="s">
        <v>26</v>
      </c>
      <c r="P233" t="s">
        <v>32</v>
      </c>
      <c r="Q233" t="s">
        <v>26</v>
      </c>
      <c r="R233" t="s">
        <v>29</v>
      </c>
      <c r="S233">
        <v>113.93</v>
      </c>
      <c r="T233">
        <v>4171.76</v>
      </c>
      <c r="U233">
        <v>43878</v>
      </c>
      <c r="V233" t="s">
        <v>25</v>
      </c>
      <c r="W233" t="s">
        <v>30</v>
      </c>
    </row>
    <row r="234" spans="1:23" x14ac:dyDescent="0.35">
      <c r="A234">
        <v>16621</v>
      </c>
      <c r="B234" t="s">
        <v>31</v>
      </c>
      <c r="C234">
        <v>0</v>
      </c>
      <c r="D234" t="s">
        <v>25</v>
      </c>
      <c r="E234" t="s">
        <v>26</v>
      </c>
      <c r="F234">
        <v>50</v>
      </c>
      <c r="G234" t="s">
        <v>26</v>
      </c>
      <c r="H234" t="s">
        <v>47</v>
      </c>
      <c r="I234" t="s">
        <v>40</v>
      </c>
      <c r="J234" t="s">
        <v>37</v>
      </c>
      <c r="K234" t="s">
        <v>25</v>
      </c>
      <c r="L234" t="s">
        <v>38</v>
      </c>
      <c r="M234" t="s">
        <v>26</v>
      </c>
      <c r="N234" t="s">
        <v>37</v>
      </c>
      <c r="O234" t="s">
        <v>37</v>
      </c>
      <c r="P234" t="s">
        <v>42</v>
      </c>
      <c r="Q234" t="s">
        <v>25</v>
      </c>
      <c r="R234" t="s">
        <v>29</v>
      </c>
      <c r="T234">
        <v>1637.64</v>
      </c>
      <c r="U234">
        <v>45310</v>
      </c>
      <c r="V234" t="s">
        <v>25</v>
      </c>
      <c r="W234" t="s">
        <v>30</v>
      </c>
    </row>
    <row r="235" spans="1:23" x14ac:dyDescent="0.35">
      <c r="A235">
        <v>18514</v>
      </c>
      <c r="B235" t="s">
        <v>31</v>
      </c>
      <c r="C235">
        <v>1</v>
      </c>
      <c r="D235" t="s">
        <v>25</v>
      </c>
      <c r="E235" t="s">
        <v>25</v>
      </c>
      <c r="F235">
        <v>48</v>
      </c>
      <c r="G235" t="s">
        <v>26</v>
      </c>
      <c r="H235" t="s">
        <v>25</v>
      </c>
      <c r="I235" t="s">
        <v>27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41</v>
      </c>
      <c r="Q235" t="s">
        <v>25</v>
      </c>
      <c r="R235" t="s">
        <v>33</v>
      </c>
      <c r="S235">
        <v>115.79</v>
      </c>
      <c r="T235">
        <v>1486.45</v>
      </c>
      <c r="U235">
        <v>44877</v>
      </c>
      <c r="V235" t="s">
        <v>25</v>
      </c>
      <c r="W235" t="s">
        <v>30</v>
      </c>
    </row>
    <row r="236" spans="1:23" x14ac:dyDescent="0.35">
      <c r="A236">
        <v>17635</v>
      </c>
      <c r="B236" t="s">
        <v>34</v>
      </c>
      <c r="C236">
        <v>0</v>
      </c>
      <c r="D236" t="s">
        <v>26</v>
      </c>
      <c r="E236" t="s">
        <v>25</v>
      </c>
      <c r="F236">
        <v>7</v>
      </c>
      <c r="G236" t="s">
        <v>25</v>
      </c>
      <c r="H236" t="s">
        <v>36</v>
      </c>
      <c r="I236" t="s">
        <v>35</v>
      </c>
      <c r="J236" t="s">
        <v>26</v>
      </c>
      <c r="K236" t="s">
        <v>26</v>
      </c>
      <c r="L236" t="s">
        <v>26</v>
      </c>
      <c r="M236" t="s">
        <v>25</v>
      </c>
      <c r="N236" t="s">
        <v>37</v>
      </c>
      <c r="O236" t="s">
        <v>25</v>
      </c>
      <c r="P236" t="s">
        <v>41</v>
      </c>
      <c r="Q236" t="s">
        <v>26</v>
      </c>
      <c r="R236" t="s">
        <v>29</v>
      </c>
      <c r="S236">
        <v>32.619999999999997</v>
      </c>
      <c r="T236">
        <v>5205.37</v>
      </c>
      <c r="U236">
        <v>45440</v>
      </c>
      <c r="V236" t="s">
        <v>25</v>
      </c>
      <c r="W236" t="s">
        <v>30</v>
      </c>
    </row>
    <row r="237" spans="1:23" x14ac:dyDescent="0.35">
      <c r="A237">
        <v>3617</v>
      </c>
      <c r="B237" t="s">
        <v>34</v>
      </c>
      <c r="C237" t="s">
        <v>25</v>
      </c>
      <c r="D237" t="s">
        <v>26</v>
      </c>
      <c r="E237" t="s">
        <v>25</v>
      </c>
      <c r="F237">
        <v>36</v>
      </c>
      <c r="G237" t="s">
        <v>26</v>
      </c>
      <c r="H237" t="s">
        <v>26</v>
      </c>
      <c r="I237" t="s">
        <v>25</v>
      </c>
      <c r="J237" t="s">
        <v>25</v>
      </c>
      <c r="K237" t="s">
        <v>37</v>
      </c>
      <c r="L237" t="s">
        <v>37</v>
      </c>
      <c r="M237" t="s">
        <v>25</v>
      </c>
      <c r="N237" t="s">
        <v>25</v>
      </c>
      <c r="O237" t="s">
        <v>26</v>
      </c>
      <c r="P237" t="s">
        <v>48</v>
      </c>
      <c r="Q237" t="s">
        <v>26</v>
      </c>
      <c r="R237" t="s">
        <v>39</v>
      </c>
      <c r="S237">
        <v>35.54</v>
      </c>
      <c r="T237">
        <v>1412.14</v>
      </c>
      <c r="U237">
        <v>45155</v>
      </c>
      <c r="V237" t="s">
        <v>25</v>
      </c>
      <c r="W237" t="s">
        <v>30</v>
      </c>
    </row>
    <row r="238" spans="1:23" x14ac:dyDescent="0.35">
      <c r="A238">
        <v>14444</v>
      </c>
      <c r="B238" t="s">
        <v>31</v>
      </c>
      <c r="C238">
        <v>1</v>
      </c>
      <c r="D238" t="s">
        <v>26</v>
      </c>
      <c r="E238" t="s">
        <v>25</v>
      </c>
      <c r="F238">
        <v>42</v>
      </c>
      <c r="G238" t="s">
        <v>26</v>
      </c>
      <c r="H238" t="s">
        <v>26</v>
      </c>
      <c r="I238" t="s">
        <v>40</v>
      </c>
      <c r="J238" t="s">
        <v>25</v>
      </c>
      <c r="K238" t="s">
        <v>37</v>
      </c>
      <c r="L238" t="s">
        <v>25</v>
      </c>
      <c r="M238" t="s">
        <v>25</v>
      </c>
      <c r="N238" t="s">
        <v>38</v>
      </c>
      <c r="O238" t="s">
        <v>37</v>
      </c>
      <c r="P238" t="s">
        <v>32</v>
      </c>
      <c r="Q238" t="s">
        <v>25</v>
      </c>
      <c r="R238" t="s">
        <v>49</v>
      </c>
      <c r="S238">
        <v>82.86</v>
      </c>
      <c r="T238">
        <v>1091.94</v>
      </c>
      <c r="U238">
        <v>44597</v>
      </c>
      <c r="V238" t="s">
        <v>25</v>
      </c>
      <c r="W238" t="s">
        <v>30</v>
      </c>
    </row>
    <row r="239" spans="1:23" x14ac:dyDescent="0.35">
      <c r="A239">
        <v>12843</v>
      </c>
      <c r="B239" t="s">
        <v>46</v>
      </c>
      <c r="C239" t="s">
        <v>25</v>
      </c>
      <c r="D239" t="s">
        <v>25</v>
      </c>
      <c r="E239" t="s">
        <v>25</v>
      </c>
      <c r="F239">
        <v>14</v>
      </c>
      <c r="G239" t="s">
        <v>26</v>
      </c>
      <c r="H239" t="s">
        <v>38</v>
      </c>
      <c r="I239" t="s">
        <v>25</v>
      </c>
      <c r="J239" t="s">
        <v>26</v>
      </c>
      <c r="K239" t="s">
        <v>25</v>
      </c>
      <c r="L239" t="s">
        <v>26</v>
      </c>
      <c r="M239" t="s">
        <v>26</v>
      </c>
      <c r="N239" t="s">
        <v>37</v>
      </c>
      <c r="O239" t="s">
        <v>25</v>
      </c>
      <c r="P239" t="s">
        <v>45</v>
      </c>
      <c r="Q239" t="s">
        <v>25</v>
      </c>
      <c r="R239" t="s">
        <v>44</v>
      </c>
      <c r="S239">
        <v>56.56</v>
      </c>
      <c r="T239">
        <v>7003.47</v>
      </c>
      <c r="U239">
        <v>45366</v>
      </c>
      <c r="V239" t="s">
        <v>25</v>
      </c>
      <c r="W239" t="s">
        <v>30</v>
      </c>
    </row>
    <row r="240" spans="1:23" x14ac:dyDescent="0.35">
      <c r="A240">
        <v>1504</v>
      </c>
      <c r="B240" t="s">
        <v>51</v>
      </c>
      <c r="C240">
        <v>0</v>
      </c>
      <c r="D240" t="s">
        <v>26</v>
      </c>
      <c r="E240" t="s">
        <v>26</v>
      </c>
      <c r="F240">
        <v>21</v>
      </c>
      <c r="G240" t="s">
        <v>25</v>
      </c>
      <c r="H240" t="s">
        <v>26</v>
      </c>
      <c r="I240" t="s">
        <v>27</v>
      </c>
      <c r="J240" t="s">
        <v>36</v>
      </c>
      <c r="K240" t="s">
        <v>26</v>
      </c>
      <c r="L240" t="s">
        <v>25</v>
      </c>
      <c r="M240" t="s">
        <v>25</v>
      </c>
      <c r="N240" t="s">
        <v>26</v>
      </c>
      <c r="O240" t="s">
        <v>26</v>
      </c>
      <c r="P240" t="s">
        <v>32</v>
      </c>
      <c r="Q240" t="s">
        <v>25</v>
      </c>
      <c r="R240" t="s">
        <v>39</v>
      </c>
      <c r="S240">
        <v>66.2</v>
      </c>
      <c r="T240">
        <v>5798.58</v>
      </c>
      <c r="U240">
        <v>44533</v>
      </c>
      <c r="V240" t="s">
        <v>25</v>
      </c>
      <c r="W240" t="s">
        <v>30</v>
      </c>
    </row>
    <row r="241" spans="1:23" x14ac:dyDescent="0.35">
      <c r="A241">
        <v>2643</v>
      </c>
      <c r="B241" t="s">
        <v>31</v>
      </c>
      <c r="C241">
        <v>0</v>
      </c>
      <c r="D241" t="s">
        <v>25</v>
      </c>
      <c r="E241" t="s">
        <v>26</v>
      </c>
      <c r="F241">
        <v>50</v>
      </c>
      <c r="G241" t="s">
        <v>26</v>
      </c>
      <c r="H241" t="s">
        <v>26</v>
      </c>
      <c r="I241" t="s">
        <v>35</v>
      </c>
      <c r="J241" t="s">
        <v>26</v>
      </c>
      <c r="K241" t="s">
        <v>25</v>
      </c>
      <c r="L241" t="s">
        <v>37</v>
      </c>
      <c r="M241" t="s">
        <v>25</v>
      </c>
      <c r="N241" t="s">
        <v>38</v>
      </c>
      <c r="O241" t="s">
        <v>26</v>
      </c>
      <c r="P241" t="s">
        <v>48</v>
      </c>
      <c r="Q241" t="s">
        <v>26</v>
      </c>
      <c r="R241" t="s">
        <v>43</v>
      </c>
      <c r="T241">
        <v>3009.57</v>
      </c>
      <c r="U241">
        <v>44344</v>
      </c>
      <c r="V241" t="s">
        <v>25</v>
      </c>
      <c r="W241" t="s">
        <v>30</v>
      </c>
    </row>
    <row r="242" spans="1:23" x14ac:dyDescent="0.35">
      <c r="A242">
        <v>8049</v>
      </c>
      <c r="B242" t="s">
        <v>34</v>
      </c>
      <c r="C242">
        <v>1</v>
      </c>
      <c r="D242" t="s">
        <v>36</v>
      </c>
      <c r="E242" t="s">
        <v>26</v>
      </c>
      <c r="F242">
        <v>2</v>
      </c>
      <c r="G242" t="s">
        <v>26</v>
      </c>
      <c r="H242" t="s">
        <v>38</v>
      </c>
      <c r="I242" t="s">
        <v>27</v>
      </c>
      <c r="J242" t="s">
        <v>26</v>
      </c>
      <c r="K242" t="s">
        <v>26</v>
      </c>
      <c r="L242" t="s">
        <v>26</v>
      </c>
      <c r="M242" t="s">
        <v>37</v>
      </c>
      <c r="N242" t="s">
        <v>25</v>
      </c>
      <c r="O242" t="s">
        <v>25</v>
      </c>
      <c r="P242" t="s">
        <v>41</v>
      </c>
      <c r="Q242" t="s">
        <v>26</v>
      </c>
      <c r="R242" t="s">
        <v>33</v>
      </c>
      <c r="S242">
        <v>30.05</v>
      </c>
      <c r="T242">
        <v>3641.01</v>
      </c>
      <c r="U242">
        <v>45637</v>
      </c>
      <c r="V242" t="s">
        <v>25</v>
      </c>
      <c r="W242" t="s">
        <v>30</v>
      </c>
    </row>
    <row r="243" spans="1:23" x14ac:dyDescent="0.35">
      <c r="A243">
        <v>3560</v>
      </c>
      <c r="B243" t="s">
        <v>31</v>
      </c>
      <c r="C243">
        <v>0</v>
      </c>
      <c r="D243" t="s">
        <v>25</v>
      </c>
      <c r="E243" t="s">
        <v>25</v>
      </c>
      <c r="F243">
        <v>58</v>
      </c>
      <c r="G243" t="s">
        <v>26</v>
      </c>
      <c r="H243" t="s">
        <v>26</v>
      </c>
      <c r="I243" t="s">
        <v>35</v>
      </c>
      <c r="J243" t="s">
        <v>25</v>
      </c>
      <c r="K243" t="s">
        <v>25</v>
      </c>
      <c r="L243" t="s">
        <v>37</v>
      </c>
      <c r="M243" t="s">
        <v>26</v>
      </c>
      <c r="N243" t="s">
        <v>26</v>
      </c>
      <c r="O243" t="s">
        <v>26</v>
      </c>
      <c r="P243" t="s">
        <v>32</v>
      </c>
      <c r="Q243" t="s">
        <v>26</v>
      </c>
      <c r="R243" t="s">
        <v>39</v>
      </c>
      <c r="S243">
        <v>34.619999999999997</v>
      </c>
      <c r="T243">
        <v>2528.87</v>
      </c>
      <c r="U243">
        <v>44350</v>
      </c>
      <c r="V243" t="s">
        <v>25</v>
      </c>
      <c r="W243" t="s">
        <v>30</v>
      </c>
    </row>
    <row r="244" spans="1:23" x14ac:dyDescent="0.35">
      <c r="A244">
        <v>14725</v>
      </c>
      <c r="B244" t="s">
        <v>0</v>
      </c>
      <c r="C244">
        <v>0</v>
      </c>
      <c r="D244" t="s">
        <v>25</v>
      </c>
      <c r="E244" t="s">
        <v>25</v>
      </c>
      <c r="F244">
        <v>20</v>
      </c>
      <c r="G244" t="s">
        <v>36</v>
      </c>
      <c r="H244" t="s">
        <v>47</v>
      </c>
      <c r="I244" t="s">
        <v>25</v>
      </c>
      <c r="J244" t="s">
        <v>25</v>
      </c>
      <c r="K244" t="s">
        <v>37</v>
      </c>
      <c r="L244" t="s">
        <v>26</v>
      </c>
      <c r="M244" t="s">
        <v>38</v>
      </c>
      <c r="N244" t="s">
        <v>25</v>
      </c>
      <c r="O244" t="s">
        <v>25</v>
      </c>
      <c r="P244" t="s">
        <v>42</v>
      </c>
      <c r="Q244" t="s">
        <v>25</v>
      </c>
      <c r="R244" t="s">
        <v>29</v>
      </c>
      <c r="S244">
        <v>61.17</v>
      </c>
      <c r="T244">
        <v>1867.74</v>
      </c>
      <c r="U244">
        <v>44246</v>
      </c>
      <c r="V244" t="s">
        <v>25</v>
      </c>
      <c r="W244" t="s">
        <v>30</v>
      </c>
    </row>
    <row r="245" spans="1:23" x14ac:dyDescent="0.35">
      <c r="A245">
        <v>18574</v>
      </c>
      <c r="B245" t="s">
        <v>34</v>
      </c>
      <c r="C245">
        <v>0</v>
      </c>
      <c r="D245" t="s">
        <v>26</v>
      </c>
      <c r="E245" t="s">
        <v>25</v>
      </c>
      <c r="F245">
        <v>29</v>
      </c>
      <c r="G245" t="s">
        <v>26</v>
      </c>
      <c r="H245" t="s">
        <v>26</v>
      </c>
      <c r="I245" t="s">
        <v>25</v>
      </c>
      <c r="J245" t="s">
        <v>38</v>
      </c>
      <c r="K245" t="s">
        <v>26</v>
      </c>
      <c r="L245" t="s">
        <v>25</v>
      </c>
      <c r="M245" t="s">
        <v>36</v>
      </c>
      <c r="N245" t="s">
        <v>37</v>
      </c>
      <c r="O245" t="s">
        <v>25</v>
      </c>
      <c r="P245" t="s">
        <v>32</v>
      </c>
      <c r="Q245" t="s">
        <v>25</v>
      </c>
      <c r="R245" t="s">
        <v>29</v>
      </c>
      <c r="S245">
        <v>113.43</v>
      </c>
      <c r="T245">
        <v>2812</v>
      </c>
      <c r="U245">
        <v>44730</v>
      </c>
      <c r="V245" t="s">
        <v>25</v>
      </c>
      <c r="W245" t="s">
        <v>30</v>
      </c>
    </row>
    <row r="246" spans="1:23" x14ac:dyDescent="0.35">
      <c r="A246">
        <v>14647</v>
      </c>
      <c r="B246" t="s">
        <v>31</v>
      </c>
      <c r="C246">
        <v>0</v>
      </c>
      <c r="D246" t="s">
        <v>26</v>
      </c>
      <c r="E246" t="s">
        <v>26</v>
      </c>
      <c r="F246">
        <v>11</v>
      </c>
      <c r="G246" t="s">
        <v>26</v>
      </c>
      <c r="H246" t="s">
        <v>47</v>
      </c>
      <c r="I246" t="s">
        <v>35</v>
      </c>
      <c r="J246" t="s">
        <v>26</v>
      </c>
      <c r="K246" t="s">
        <v>26</v>
      </c>
      <c r="L246" t="s">
        <v>26</v>
      </c>
      <c r="M246" t="s">
        <v>25</v>
      </c>
      <c r="N246" t="s">
        <v>26</v>
      </c>
      <c r="O246" t="s">
        <v>26</v>
      </c>
      <c r="P246" t="s">
        <v>32</v>
      </c>
      <c r="Q246" t="s">
        <v>38</v>
      </c>
      <c r="R246" t="s">
        <v>29</v>
      </c>
      <c r="S246">
        <v>111.9</v>
      </c>
      <c r="T246">
        <v>4437.3599999999997</v>
      </c>
      <c r="U246">
        <v>45467</v>
      </c>
      <c r="V246" t="s">
        <v>25</v>
      </c>
      <c r="W246" t="s">
        <v>50</v>
      </c>
    </row>
    <row r="247" spans="1:23" x14ac:dyDescent="0.35">
      <c r="A247">
        <v>14495</v>
      </c>
      <c r="B247" t="s">
        <v>31</v>
      </c>
      <c r="C247">
        <v>0</v>
      </c>
      <c r="D247" t="s">
        <v>36</v>
      </c>
      <c r="E247" t="s">
        <v>26</v>
      </c>
      <c r="F247">
        <v>15</v>
      </c>
      <c r="G247" t="s">
        <v>26</v>
      </c>
      <c r="H247" t="s">
        <v>25</v>
      </c>
      <c r="I247" t="s">
        <v>52</v>
      </c>
      <c r="J247" t="s">
        <v>25</v>
      </c>
      <c r="K247" t="s">
        <v>25</v>
      </c>
      <c r="L247" t="s">
        <v>25</v>
      </c>
      <c r="M247" t="s">
        <v>25</v>
      </c>
      <c r="N247" t="s">
        <v>36</v>
      </c>
      <c r="O247" t="s">
        <v>26</v>
      </c>
      <c r="P247" t="s">
        <v>32</v>
      </c>
      <c r="Q247" t="s">
        <v>25</v>
      </c>
      <c r="R247" t="s">
        <v>29</v>
      </c>
      <c r="S247">
        <v>53.36</v>
      </c>
      <c r="T247">
        <v>439.82</v>
      </c>
      <c r="U247">
        <v>44783</v>
      </c>
      <c r="V247" t="s">
        <v>25</v>
      </c>
      <c r="W247" t="s">
        <v>30</v>
      </c>
    </row>
    <row r="248" spans="1:23" x14ac:dyDescent="0.35">
      <c r="A248">
        <v>16544</v>
      </c>
      <c r="B248" t="s">
        <v>31</v>
      </c>
      <c r="C248">
        <v>1</v>
      </c>
      <c r="D248" t="s">
        <v>26</v>
      </c>
      <c r="E248" t="s">
        <v>36</v>
      </c>
      <c r="F248">
        <v>32</v>
      </c>
      <c r="G248" t="s">
        <v>26</v>
      </c>
      <c r="H248" t="s">
        <v>26</v>
      </c>
      <c r="I248" t="s">
        <v>25</v>
      </c>
      <c r="J248" t="s">
        <v>37</v>
      </c>
      <c r="K248" t="s">
        <v>25</v>
      </c>
      <c r="L248" t="s">
        <v>37</v>
      </c>
      <c r="M248" t="s">
        <v>37</v>
      </c>
      <c r="N248" t="s">
        <v>26</v>
      </c>
      <c r="O248" t="s">
        <v>36</v>
      </c>
      <c r="P248" t="s">
        <v>48</v>
      </c>
      <c r="Q248" t="s">
        <v>26</v>
      </c>
      <c r="R248" t="s">
        <v>29</v>
      </c>
      <c r="S248">
        <v>116.41</v>
      </c>
      <c r="T248">
        <v>1227.23</v>
      </c>
      <c r="U248">
        <v>43849</v>
      </c>
      <c r="V248" t="s">
        <v>25</v>
      </c>
      <c r="W248" t="s">
        <v>30</v>
      </c>
    </row>
    <row r="249" spans="1:23" x14ac:dyDescent="0.35">
      <c r="A249">
        <v>11455</v>
      </c>
      <c r="B249" t="s">
        <v>51</v>
      </c>
      <c r="C249">
        <v>0</v>
      </c>
      <c r="D249" t="s">
        <v>25</v>
      </c>
      <c r="E249" t="s">
        <v>26</v>
      </c>
      <c r="F249">
        <v>53</v>
      </c>
      <c r="G249" t="s">
        <v>26</v>
      </c>
      <c r="H249" t="s">
        <v>25</v>
      </c>
      <c r="I249" t="s">
        <v>25</v>
      </c>
      <c r="J249" t="s">
        <v>25</v>
      </c>
      <c r="K249" t="s">
        <v>26</v>
      </c>
      <c r="L249" t="s">
        <v>38</v>
      </c>
      <c r="M249" t="s">
        <v>25</v>
      </c>
      <c r="N249" t="s">
        <v>36</v>
      </c>
      <c r="O249" t="s">
        <v>25</v>
      </c>
      <c r="P249" t="s">
        <v>32</v>
      </c>
      <c r="Q249" t="s">
        <v>25</v>
      </c>
      <c r="R249" t="s">
        <v>49</v>
      </c>
      <c r="S249">
        <v>59.99</v>
      </c>
      <c r="T249">
        <v>1014.62</v>
      </c>
      <c r="U249">
        <v>43874</v>
      </c>
      <c r="V249" t="s">
        <v>25</v>
      </c>
      <c r="W249" t="s">
        <v>30</v>
      </c>
    </row>
    <row r="250" spans="1:23" x14ac:dyDescent="0.35">
      <c r="A250">
        <v>20869</v>
      </c>
      <c r="B250" t="s">
        <v>31</v>
      </c>
      <c r="C250">
        <v>0</v>
      </c>
      <c r="D250" t="s">
        <v>26</v>
      </c>
      <c r="E250" t="s">
        <v>26</v>
      </c>
      <c r="F250">
        <v>17</v>
      </c>
      <c r="G250" t="s">
        <v>25</v>
      </c>
      <c r="H250" t="s">
        <v>26</v>
      </c>
      <c r="I250" t="s">
        <v>25</v>
      </c>
      <c r="J250" t="s">
        <v>37</v>
      </c>
      <c r="K250" t="s">
        <v>25</v>
      </c>
      <c r="L250" t="s">
        <v>37</v>
      </c>
      <c r="M250" t="s">
        <v>25</v>
      </c>
      <c r="N250" t="s">
        <v>26</v>
      </c>
      <c r="O250" t="s">
        <v>25</v>
      </c>
      <c r="P250" t="s">
        <v>32</v>
      </c>
      <c r="Q250" t="s">
        <v>26</v>
      </c>
      <c r="R250" t="s">
        <v>44</v>
      </c>
      <c r="S250">
        <v>33.72</v>
      </c>
      <c r="T250">
        <v>2688.83</v>
      </c>
      <c r="U250">
        <v>45494</v>
      </c>
      <c r="V250" t="s">
        <v>25</v>
      </c>
      <c r="W250" t="s">
        <v>30</v>
      </c>
    </row>
    <row r="251" spans="1:23" x14ac:dyDescent="0.35">
      <c r="A251">
        <v>11389</v>
      </c>
      <c r="B251" t="s">
        <v>46</v>
      </c>
      <c r="C251">
        <v>0</v>
      </c>
      <c r="D251" t="s">
        <v>26</v>
      </c>
      <c r="E251" t="s">
        <v>25</v>
      </c>
      <c r="F251">
        <v>47</v>
      </c>
      <c r="G251" t="s">
        <v>26</v>
      </c>
      <c r="H251" t="s">
        <v>47</v>
      </c>
      <c r="I251" t="s">
        <v>52</v>
      </c>
      <c r="J251" t="s">
        <v>26</v>
      </c>
      <c r="K251" t="s">
        <v>25</v>
      </c>
      <c r="L251" t="s">
        <v>26</v>
      </c>
      <c r="M251" t="s">
        <v>37</v>
      </c>
      <c r="N251" t="s">
        <v>25</v>
      </c>
      <c r="O251" t="s">
        <v>25</v>
      </c>
      <c r="P251" t="s">
        <v>32</v>
      </c>
      <c r="Q251" t="s">
        <v>26</v>
      </c>
      <c r="R251" t="s">
        <v>33</v>
      </c>
      <c r="S251">
        <v>41.13</v>
      </c>
      <c r="T251">
        <v>2398.6999999999998</v>
      </c>
      <c r="U251">
        <v>44553</v>
      </c>
      <c r="V251" t="s">
        <v>25</v>
      </c>
      <c r="W251" t="s">
        <v>30</v>
      </c>
    </row>
    <row r="252" spans="1:23" x14ac:dyDescent="0.35">
      <c r="A252">
        <v>4596</v>
      </c>
      <c r="B252" t="s">
        <v>31</v>
      </c>
      <c r="C252">
        <v>0</v>
      </c>
      <c r="D252" t="s">
        <v>26</v>
      </c>
      <c r="E252" t="s">
        <v>25</v>
      </c>
      <c r="F252">
        <v>25</v>
      </c>
      <c r="G252" t="s">
        <v>26</v>
      </c>
      <c r="H252" t="s">
        <v>47</v>
      </c>
      <c r="I252" t="s">
        <v>25</v>
      </c>
      <c r="J252" t="s">
        <v>25</v>
      </c>
      <c r="K252" t="s">
        <v>26</v>
      </c>
      <c r="L252" t="s">
        <v>26</v>
      </c>
      <c r="M252" t="s">
        <v>26</v>
      </c>
      <c r="N252" t="s">
        <v>38</v>
      </c>
      <c r="O252" t="s">
        <v>37</v>
      </c>
      <c r="P252" t="s">
        <v>28</v>
      </c>
      <c r="Q252" t="s">
        <v>25</v>
      </c>
      <c r="R252" t="s">
        <v>39</v>
      </c>
      <c r="S252">
        <v>30.99</v>
      </c>
      <c r="T252">
        <v>1023.06</v>
      </c>
      <c r="U252">
        <v>45440</v>
      </c>
      <c r="V252" t="s">
        <v>25</v>
      </c>
      <c r="W252" t="s">
        <v>30</v>
      </c>
    </row>
    <row r="253" spans="1:23" x14ac:dyDescent="0.35">
      <c r="A253">
        <v>6212</v>
      </c>
      <c r="B253" t="s">
        <v>34</v>
      </c>
      <c r="C253">
        <v>0</v>
      </c>
      <c r="D253" t="s">
        <v>25</v>
      </c>
      <c r="E253" t="s">
        <v>25</v>
      </c>
      <c r="F253">
        <v>37</v>
      </c>
      <c r="G253" t="s">
        <v>26</v>
      </c>
      <c r="H253" t="s">
        <v>25</v>
      </c>
      <c r="I253" t="s">
        <v>35</v>
      </c>
      <c r="J253" t="s">
        <v>25</v>
      </c>
      <c r="K253" t="s">
        <v>37</v>
      </c>
      <c r="L253" t="s">
        <v>26</v>
      </c>
      <c r="M253" t="s">
        <v>25</v>
      </c>
      <c r="N253" t="s">
        <v>37</v>
      </c>
      <c r="O253" t="s">
        <v>26</v>
      </c>
      <c r="P253" t="s">
        <v>32</v>
      </c>
      <c r="Q253" t="s">
        <v>25</v>
      </c>
      <c r="R253" t="s">
        <v>43</v>
      </c>
      <c r="T253">
        <v>4239.29</v>
      </c>
      <c r="U253">
        <v>45544</v>
      </c>
      <c r="V253" t="s">
        <v>25</v>
      </c>
      <c r="W253" t="s">
        <v>30</v>
      </c>
    </row>
    <row r="254" spans="1:23" x14ac:dyDescent="0.35">
      <c r="A254">
        <v>4126</v>
      </c>
      <c r="B254" t="s">
        <v>31</v>
      </c>
      <c r="C254">
        <v>0</v>
      </c>
      <c r="D254" t="s">
        <v>25</v>
      </c>
      <c r="E254" t="s">
        <v>25</v>
      </c>
      <c r="F254">
        <v>51</v>
      </c>
      <c r="G254" t="s">
        <v>26</v>
      </c>
      <c r="H254" t="s">
        <v>47</v>
      </c>
      <c r="I254" t="s">
        <v>27</v>
      </c>
      <c r="J254" t="s">
        <v>26</v>
      </c>
      <c r="K254" t="s">
        <v>26</v>
      </c>
      <c r="L254" t="s">
        <v>25</v>
      </c>
      <c r="M254" t="s">
        <v>25</v>
      </c>
      <c r="N254" t="s">
        <v>26</v>
      </c>
      <c r="O254" t="s">
        <v>25</v>
      </c>
      <c r="P254" t="s">
        <v>48</v>
      </c>
      <c r="Q254" t="s">
        <v>25</v>
      </c>
      <c r="R254" t="s">
        <v>29</v>
      </c>
      <c r="S254">
        <v>44.19</v>
      </c>
      <c r="T254">
        <v>7077.48</v>
      </c>
      <c r="U254">
        <v>44858</v>
      </c>
      <c r="V254" t="s">
        <v>25</v>
      </c>
      <c r="W254" t="s">
        <v>30</v>
      </c>
    </row>
    <row r="255" spans="1:23" x14ac:dyDescent="0.35">
      <c r="A255">
        <v>20676</v>
      </c>
      <c r="B255" t="s">
        <v>31</v>
      </c>
      <c r="C255">
        <v>0</v>
      </c>
      <c r="D255" t="s">
        <v>38</v>
      </c>
      <c r="E255" t="s">
        <v>25</v>
      </c>
      <c r="F255">
        <v>17</v>
      </c>
      <c r="G255" t="s">
        <v>26</v>
      </c>
      <c r="H255" t="s">
        <v>47</v>
      </c>
      <c r="I255" t="s">
        <v>27</v>
      </c>
      <c r="J255" t="s">
        <v>25</v>
      </c>
      <c r="K255" t="s">
        <v>26</v>
      </c>
      <c r="L255" t="s">
        <v>37</v>
      </c>
      <c r="M255" t="s">
        <v>37</v>
      </c>
      <c r="N255" t="s">
        <v>26</v>
      </c>
      <c r="O255" t="s">
        <v>37</v>
      </c>
      <c r="P255" t="s">
        <v>41</v>
      </c>
      <c r="Q255" t="s">
        <v>25</v>
      </c>
      <c r="R255" t="s">
        <v>39</v>
      </c>
      <c r="T255">
        <v>1328.52</v>
      </c>
      <c r="U255">
        <v>44195</v>
      </c>
      <c r="V255" t="s">
        <v>25</v>
      </c>
      <c r="W255" t="s">
        <v>50</v>
      </c>
    </row>
    <row r="256" spans="1:23" x14ac:dyDescent="0.35">
      <c r="A256">
        <v>3899</v>
      </c>
      <c r="B256" t="s">
        <v>31</v>
      </c>
      <c r="C256">
        <v>0</v>
      </c>
      <c r="D256" t="s">
        <v>26</v>
      </c>
      <c r="E256" t="s">
        <v>25</v>
      </c>
      <c r="F256">
        <v>27</v>
      </c>
      <c r="G256" t="s">
        <v>26</v>
      </c>
      <c r="H256" t="s">
        <v>38</v>
      </c>
      <c r="I256" t="s">
        <v>25</v>
      </c>
      <c r="J256" t="s">
        <v>26</v>
      </c>
      <c r="K256" t="s">
        <v>25</v>
      </c>
      <c r="L256" t="s">
        <v>26</v>
      </c>
      <c r="M256" t="s">
        <v>26</v>
      </c>
      <c r="N256" t="s">
        <v>26</v>
      </c>
      <c r="O256" t="s">
        <v>26</v>
      </c>
      <c r="P256" t="s">
        <v>32</v>
      </c>
      <c r="Q256" t="s">
        <v>25</v>
      </c>
      <c r="R256" t="s">
        <v>39</v>
      </c>
      <c r="S256">
        <v>32.28</v>
      </c>
      <c r="T256">
        <v>1198.3800000000001</v>
      </c>
      <c r="U256">
        <v>44424</v>
      </c>
      <c r="V256" t="s">
        <v>25</v>
      </c>
      <c r="W256" t="s">
        <v>30</v>
      </c>
    </row>
    <row r="257" spans="1:23" x14ac:dyDescent="0.35">
      <c r="A257">
        <v>16683</v>
      </c>
      <c r="B257" t="s">
        <v>34</v>
      </c>
      <c r="C257">
        <v>0</v>
      </c>
      <c r="D257" t="s">
        <v>26</v>
      </c>
      <c r="E257" t="s">
        <v>25</v>
      </c>
      <c r="F257">
        <v>8</v>
      </c>
      <c r="G257" t="s">
        <v>26</v>
      </c>
      <c r="H257" t="s">
        <v>26</v>
      </c>
      <c r="I257" t="s">
        <v>35</v>
      </c>
      <c r="J257" t="s">
        <v>26</v>
      </c>
      <c r="K257" t="s">
        <v>26</v>
      </c>
      <c r="L257" t="s">
        <v>37</v>
      </c>
      <c r="M257" t="s">
        <v>25</v>
      </c>
      <c r="N257" t="s">
        <v>26</v>
      </c>
      <c r="O257" t="s">
        <v>25</v>
      </c>
      <c r="P257" t="s">
        <v>32</v>
      </c>
      <c r="Q257" t="s">
        <v>25</v>
      </c>
      <c r="R257" t="s">
        <v>29</v>
      </c>
      <c r="S257">
        <v>58.47</v>
      </c>
      <c r="T257">
        <v>6118.9</v>
      </c>
      <c r="U257">
        <v>44333</v>
      </c>
      <c r="V257" t="s">
        <v>25</v>
      </c>
      <c r="W257" t="s">
        <v>30</v>
      </c>
    </row>
    <row r="258" spans="1:23" x14ac:dyDescent="0.35">
      <c r="A258">
        <v>4529</v>
      </c>
      <c r="B258" t="s">
        <v>1</v>
      </c>
      <c r="C258">
        <v>0</v>
      </c>
      <c r="D258" t="s">
        <v>36</v>
      </c>
      <c r="E258" t="s">
        <v>25</v>
      </c>
      <c r="F258">
        <v>32</v>
      </c>
      <c r="G258" t="s">
        <v>36</v>
      </c>
      <c r="H258" t="s">
        <v>26</v>
      </c>
      <c r="I258" t="s">
        <v>35</v>
      </c>
      <c r="J258" t="s">
        <v>37</v>
      </c>
      <c r="K258" t="s">
        <v>26</v>
      </c>
      <c r="L258" t="s">
        <v>25</v>
      </c>
      <c r="M258" t="s">
        <v>37</v>
      </c>
      <c r="N258" t="s">
        <v>26</v>
      </c>
      <c r="O258" t="s">
        <v>37</v>
      </c>
      <c r="P258" t="s">
        <v>42</v>
      </c>
      <c r="Q258" t="s">
        <v>26</v>
      </c>
      <c r="R258" t="s">
        <v>29</v>
      </c>
      <c r="S258">
        <v>61.2</v>
      </c>
      <c r="T258">
        <v>4226.95</v>
      </c>
      <c r="U258">
        <v>45640</v>
      </c>
      <c r="V258" t="s">
        <v>25</v>
      </c>
      <c r="W258" t="s">
        <v>30</v>
      </c>
    </row>
    <row r="259" spans="1:23" x14ac:dyDescent="0.35">
      <c r="A259">
        <v>7276</v>
      </c>
      <c r="B259" t="s">
        <v>31</v>
      </c>
      <c r="C259">
        <v>0</v>
      </c>
      <c r="D259" t="s">
        <v>26</v>
      </c>
      <c r="E259" t="s">
        <v>25</v>
      </c>
      <c r="F259">
        <v>21</v>
      </c>
      <c r="G259" t="s">
        <v>26</v>
      </c>
      <c r="H259" t="s">
        <v>47</v>
      </c>
      <c r="I259" t="s">
        <v>27</v>
      </c>
      <c r="J259" t="s">
        <v>37</v>
      </c>
      <c r="K259" t="s">
        <v>26</v>
      </c>
      <c r="L259" t="s">
        <v>26</v>
      </c>
      <c r="M259" t="s">
        <v>37</v>
      </c>
      <c r="N259" t="s">
        <v>38</v>
      </c>
      <c r="O259" t="s">
        <v>25</v>
      </c>
      <c r="P259" t="s">
        <v>28</v>
      </c>
      <c r="Q259" t="s">
        <v>25</v>
      </c>
      <c r="R259" t="s">
        <v>33</v>
      </c>
      <c r="S259">
        <v>97.76</v>
      </c>
      <c r="T259">
        <v>6710.13</v>
      </c>
      <c r="U259">
        <v>44740</v>
      </c>
      <c r="V259" t="s">
        <v>25</v>
      </c>
      <c r="W259" t="s">
        <v>30</v>
      </c>
    </row>
    <row r="260" spans="1:23" x14ac:dyDescent="0.35">
      <c r="A260">
        <v>9239</v>
      </c>
      <c r="B260" t="s">
        <v>31</v>
      </c>
      <c r="C260">
        <v>1</v>
      </c>
      <c r="D260" t="s">
        <v>26</v>
      </c>
      <c r="E260" t="s">
        <v>26</v>
      </c>
      <c r="F260">
        <v>71</v>
      </c>
      <c r="G260" t="s">
        <v>26</v>
      </c>
      <c r="H260" t="s">
        <v>36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26</v>
      </c>
      <c r="P260" t="s">
        <v>32</v>
      </c>
      <c r="Q260" t="s">
        <v>25</v>
      </c>
      <c r="R260" t="s">
        <v>29</v>
      </c>
      <c r="S260">
        <v>26.36</v>
      </c>
      <c r="T260">
        <v>4622.12</v>
      </c>
      <c r="U260">
        <v>45355</v>
      </c>
      <c r="V260" t="s">
        <v>25</v>
      </c>
      <c r="W260" t="s">
        <v>30</v>
      </c>
    </row>
    <row r="261" spans="1:23" x14ac:dyDescent="0.35">
      <c r="A261">
        <v>6598</v>
      </c>
      <c r="B261" t="s">
        <v>31</v>
      </c>
      <c r="C261">
        <v>1</v>
      </c>
      <c r="D261" t="s">
        <v>25</v>
      </c>
      <c r="E261" t="s">
        <v>25</v>
      </c>
      <c r="F261">
        <v>2</v>
      </c>
      <c r="G261" t="s">
        <v>25</v>
      </c>
      <c r="H261" t="s">
        <v>25</v>
      </c>
      <c r="I261" t="s">
        <v>35</v>
      </c>
      <c r="J261" t="s">
        <v>37</v>
      </c>
      <c r="K261" t="s">
        <v>26</v>
      </c>
      <c r="L261" t="s">
        <v>37</v>
      </c>
      <c r="M261" t="s">
        <v>26</v>
      </c>
      <c r="N261" t="s">
        <v>26</v>
      </c>
      <c r="O261" t="s">
        <v>37</v>
      </c>
      <c r="P261" t="s">
        <v>41</v>
      </c>
      <c r="Q261" t="s">
        <v>25</v>
      </c>
      <c r="R261" t="s">
        <v>49</v>
      </c>
      <c r="S261">
        <v>106.29</v>
      </c>
      <c r="T261">
        <v>4221.5200000000004</v>
      </c>
      <c r="U261">
        <v>45251</v>
      </c>
      <c r="V261" t="s">
        <v>26</v>
      </c>
      <c r="W261" t="s">
        <v>30</v>
      </c>
    </row>
    <row r="262" spans="1:23" x14ac:dyDescent="0.35">
      <c r="A262">
        <v>12201</v>
      </c>
      <c r="B262" t="s">
        <v>34</v>
      </c>
      <c r="C262">
        <v>0</v>
      </c>
      <c r="D262" t="s">
        <v>25</v>
      </c>
      <c r="E262" t="s">
        <v>25</v>
      </c>
      <c r="F262">
        <v>7</v>
      </c>
      <c r="G262" t="s">
        <v>26</v>
      </c>
      <c r="H262" t="s">
        <v>47</v>
      </c>
      <c r="I262" t="s">
        <v>25</v>
      </c>
      <c r="J262" t="s">
        <v>37</v>
      </c>
      <c r="K262" t="s">
        <v>26</v>
      </c>
      <c r="L262" t="s">
        <v>37</v>
      </c>
      <c r="M262" t="s">
        <v>25</v>
      </c>
      <c r="N262" t="s">
        <v>26</v>
      </c>
      <c r="O262" t="s">
        <v>26</v>
      </c>
      <c r="P262" t="s">
        <v>41</v>
      </c>
      <c r="Q262" t="s">
        <v>26</v>
      </c>
      <c r="R262" t="s">
        <v>39</v>
      </c>
      <c r="S262">
        <v>117.06</v>
      </c>
      <c r="T262">
        <v>4845.74</v>
      </c>
      <c r="U262">
        <v>45158</v>
      </c>
      <c r="V262" t="s">
        <v>25</v>
      </c>
      <c r="W262" t="s">
        <v>30</v>
      </c>
    </row>
    <row r="263" spans="1:23" x14ac:dyDescent="0.35">
      <c r="A263">
        <v>4985</v>
      </c>
      <c r="B263" t="s">
        <v>51</v>
      </c>
      <c r="C263">
        <v>0</v>
      </c>
      <c r="D263" t="s">
        <v>25</v>
      </c>
      <c r="E263" t="s">
        <v>25</v>
      </c>
      <c r="F263">
        <v>60</v>
      </c>
      <c r="G263" t="s">
        <v>36</v>
      </c>
      <c r="H263" t="s">
        <v>26</v>
      </c>
      <c r="I263" t="s">
        <v>25</v>
      </c>
      <c r="J263" t="s">
        <v>25</v>
      </c>
      <c r="K263" t="s">
        <v>25</v>
      </c>
      <c r="L263" t="s">
        <v>25</v>
      </c>
      <c r="M263" t="s">
        <v>37</v>
      </c>
      <c r="N263" t="s">
        <v>25</v>
      </c>
      <c r="O263" t="s">
        <v>25</v>
      </c>
      <c r="P263" t="s">
        <v>32</v>
      </c>
      <c r="Q263" t="s">
        <v>38</v>
      </c>
      <c r="R263" t="s">
        <v>43</v>
      </c>
      <c r="S263">
        <v>90.36</v>
      </c>
      <c r="T263">
        <v>3062.97</v>
      </c>
      <c r="U263">
        <v>45053</v>
      </c>
      <c r="V263" t="s">
        <v>25</v>
      </c>
      <c r="W263" t="s">
        <v>30</v>
      </c>
    </row>
    <row r="264" spans="1:23" x14ac:dyDescent="0.35">
      <c r="A264">
        <v>7154</v>
      </c>
      <c r="B264" t="s">
        <v>34</v>
      </c>
      <c r="C264">
        <v>0</v>
      </c>
      <c r="D264" t="s">
        <v>25</v>
      </c>
      <c r="E264" t="s">
        <v>25</v>
      </c>
      <c r="F264">
        <v>30</v>
      </c>
      <c r="G264" t="s">
        <v>26</v>
      </c>
      <c r="H264" t="s">
        <v>47</v>
      </c>
      <c r="I264" t="s">
        <v>27</v>
      </c>
      <c r="J264" t="s">
        <v>26</v>
      </c>
      <c r="K264" t="s">
        <v>25</v>
      </c>
      <c r="L264" t="s">
        <v>37</v>
      </c>
      <c r="M264" t="s">
        <v>26</v>
      </c>
      <c r="N264" t="s">
        <v>26</v>
      </c>
      <c r="O264" t="s">
        <v>26</v>
      </c>
      <c r="P264" t="s">
        <v>32</v>
      </c>
      <c r="Q264" t="s">
        <v>26</v>
      </c>
      <c r="R264" t="s">
        <v>29</v>
      </c>
      <c r="S264">
        <v>61.9</v>
      </c>
      <c r="T264">
        <v>1520.44</v>
      </c>
      <c r="U264">
        <v>44205</v>
      </c>
      <c r="V264" t="s">
        <v>25</v>
      </c>
      <c r="W264" t="s">
        <v>30</v>
      </c>
    </row>
    <row r="265" spans="1:23" x14ac:dyDescent="0.35">
      <c r="A265">
        <v>16114</v>
      </c>
      <c r="B265" t="s">
        <v>34</v>
      </c>
      <c r="C265">
        <v>1</v>
      </c>
      <c r="D265" t="s">
        <v>26</v>
      </c>
      <c r="E265" t="s">
        <v>25</v>
      </c>
      <c r="F265">
        <v>44</v>
      </c>
      <c r="G265" t="s">
        <v>26</v>
      </c>
      <c r="H265" t="s">
        <v>47</v>
      </c>
      <c r="I265" t="s">
        <v>35</v>
      </c>
      <c r="J265" t="s">
        <v>37</v>
      </c>
      <c r="K265" t="s">
        <v>26</v>
      </c>
      <c r="L265" t="s">
        <v>25</v>
      </c>
      <c r="M265" t="s">
        <v>25</v>
      </c>
      <c r="N265" t="s">
        <v>26</v>
      </c>
      <c r="O265" t="s">
        <v>25</v>
      </c>
      <c r="P265" t="s">
        <v>32</v>
      </c>
      <c r="Q265" t="s">
        <v>26</v>
      </c>
      <c r="R265" t="s">
        <v>39</v>
      </c>
      <c r="S265">
        <v>58.49</v>
      </c>
      <c r="U265">
        <v>45327</v>
      </c>
      <c r="V265" t="s">
        <v>25</v>
      </c>
      <c r="W265" t="s">
        <v>30</v>
      </c>
    </row>
    <row r="266" spans="1:23" x14ac:dyDescent="0.35">
      <c r="A266">
        <v>17031</v>
      </c>
      <c r="B266" t="s">
        <v>31</v>
      </c>
      <c r="C266" t="s">
        <v>26</v>
      </c>
      <c r="D266" t="s">
        <v>36</v>
      </c>
      <c r="E266" t="s">
        <v>25</v>
      </c>
      <c r="F266">
        <v>51</v>
      </c>
      <c r="G266" t="s">
        <v>25</v>
      </c>
      <c r="H266" t="s">
        <v>26</v>
      </c>
      <c r="I266" t="s">
        <v>27</v>
      </c>
      <c r="J266" t="s">
        <v>25</v>
      </c>
      <c r="K266" t="s">
        <v>26</v>
      </c>
      <c r="L266" t="s">
        <v>25</v>
      </c>
      <c r="M266" t="s">
        <v>37</v>
      </c>
      <c r="N266" t="s">
        <v>25</v>
      </c>
      <c r="O266" t="s">
        <v>37</v>
      </c>
      <c r="P266" t="s">
        <v>28</v>
      </c>
      <c r="Q266" t="s">
        <v>25</v>
      </c>
      <c r="R266" t="s">
        <v>39</v>
      </c>
      <c r="S266">
        <v>38.74</v>
      </c>
      <c r="T266">
        <v>3022.77</v>
      </c>
      <c r="U266">
        <v>45145</v>
      </c>
      <c r="V266" t="s">
        <v>25</v>
      </c>
      <c r="W266" t="s">
        <v>30</v>
      </c>
    </row>
    <row r="267" spans="1:23" x14ac:dyDescent="0.35">
      <c r="A267">
        <v>15360</v>
      </c>
      <c r="B267" t="s">
        <v>51</v>
      </c>
      <c r="C267">
        <v>0</v>
      </c>
      <c r="D267" t="s">
        <v>25</v>
      </c>
      <c r="E267" t="s">
        <v>36</v>
      </c>
      <c r="F267">
        <v>6</v>
      </c>
      <c r="G267" t="s">
        <v>26</v>
      </c>
      <c r="H267" t="s">
        <v>47</v>
      </c>
      <c r="I267" t="s">
        <v>52</v>
      </c>
      <c r="J267" t="s">
        <v>25</v>
      </c>
      <c r="K267" t="s">
        <v>37</v>
      </c>
      <c r="L267" t="s">
        <v>25</v>
      </c>
      <c r="M267" t="s">
        <v>25</v>
      </c>
      <c r="N267" t="s">
        <v>26</v>
      </c>
      <c r="O267" t="s">
        <v>26</v>
      </c>
      <c r="P267" t="s">
        <v>28</v>
      </c>
      <c r="Q267" t="s">
        <v>26</v>
      </c>
      <c r="R267" t="s">
        <v>49</v>
      </c>
      <c r="S267">
        <v>59.2</v>
      </c>
      <c r="T267">
        <v>1193.67</v>
      </c>
      <c r="U267">
        <v>44431</v>
      </c>
      <c r="V267" t="s">
        <v>25</v>
      </c>
      <c r="W267" t="s">
        <v>30</v>
      </c>
    </row>
    <row r="268" spans="1:23" x14ac:dyDescent="0.35">
      <c r="A268">
        <v>5992</v>
      </c>
      <c r="B268" t="s">
        <v>31</v>
      </c>
      <c r="C268">
        <v>0</v>
      </c>
      <c r="D268" t="s">
        <v>38</v>
      </c>
      <c r="E268" t="s">
        <v>38</v>
      </c>
      <c r="F268">
        <v>5</v>
      </c>
      <c r="G268" t="s">
        <v>26</v>
      </c>
      <c r="H268" t="s">
        <v>26</v>
      </c>
      <c r="I268" t="s">
        <v>35</v>
      </c>
      <c r="J268" t="s">
        <v>25</v>
      </c>
      <c r="K268" t="s">
        <v>26</v>
      </c>
      <c r="L268" t="s">
        <v>37</v>
      </c>
      <c r="M268" t="s">
        <v>26</v>
      </c>
      <c r="N268" t="s">
        <v>25</v>
      </c>
      <c r="O268" t="s">
        <v>37</v>
      </c>
      <c r="P268" t="s">
        <v>45</v>
      </c>
      <c r="Q268" t="s">
        <v>25</v>
      </c>
      <c r="R268" t="s">
        <v>33</v>
      </c>
      <c r="S268">
        <v>45.92</v>
      </c>
      <c r="T268">
        <v>7826.68</v>
      </c>
      <c r="U268">
        <v>44246</v>
      </c>
      <c r="V268" t="s">
        <v>25</v>
      </c>
      <c r="W268" t="s">
        <v>30</v>
      </c>
    </row>
    <row r="269" spans="1:23" x14ac:dyDescent="0.35">
      <c r="A269">
        <v>16059</v>
      </c>
      <c r="B269" t="s">
        <v>34</v>
      </c>
      <c r="C269">
        <v>0</v>
      </c>
      <c r="D269" t="s">
        <v>25</v>
      </c>
      <c r="E269" t="s">
        <v>25</v>
      </c>
      <c r="F269">
        <v>36</v>
      </c>
      <c r="G269" t="s">
        <v>26</v>
      </c>
      <c r="H269" t="s">
        <v>26</v>
      </c>
      <c r="I269" t="s">
        <v>25</v>
      </c>
      <c r="J269" t="s">
        <v>26</v>
      </c>
      <c r="K269" t="s">
        <v>26</v>
      </c>
      <c r="L269" t="s">
        <v>25</v>
      </c>
      <c r="M269" t="s">
        <v>26</v>
      </c>
      <c r="N269" t="s">
        <v>25</v>
      </c>
      <c r="O269" t="s">
        <v>25</v>
      </c>
      <c r="P269" t="s">
        <v>28</v>
      </c>
      <c r="Q269" t="s">
        <v>26</v>
      </c>
      <c r="R269" t="s">
        <v>33</v>
      </c>
      <c r="S269">
        <v>75.489999999999995</v>
      </c>
      <c r="T269">
        <v>3677.42</v>
      </c>
      <c r="U269">
        <v>45316</v>
      </c>
      <c r="V269" t="s">
        <v>25</v>
      </c>
      <c r="W269" t="s">
        <v>30</v>
      </c>
    </row>
    <row r="270" spans="1:23" x14ac:dyDescent="0.35">
      <c r="A270">
        <v>10039</v>
      </c>
      <c r="B270" t="s">
        <v>31</v>
      </c>
      <c r="C270">
        <v>0</v>
      </c>
      <c r="D270" t="s">
        <v>25</v>
      </c>
      <c r="E270" t="s">
        <v>26</v>
      </c>
      <c r="F270">
        <v>16</v>
      </c>
      <c r="G270" t="s">
        <v>26</v>
      </c>
      <c r="H270" t="s">
        <v>25</v>
      </c>
      <c r="I270" t="s">
        <v>35</v>
      </c>
      <c r="J270" t="s">
        <v>25</v>
      </c>
      <c r="K270" t="s">
        <v>25</v>
      </c>
      <c r="L270" t="s">
        <v>37</v>
      </c>
      <c r="M270" t="s">
        <v>25</v>
      </c>
      <c r="N270" t="s">
        <v>25</v>
      </c>
      <c r="O270" t="s">
        <v>37</v>
      </c>
      <c r="P270" t="s">
        <v>32</v>
      </c>
      <c r="Q270" t="s">
        <v>26</v>
      </c>
      <c r="R270" t="s">
        <v>29</v>
      </c>
      <c r="S270">
        <v>47.16</v>
      </c>
      <c r="T270">
        <v>2534.42</v>
      </c>
      <c r="U270">
        <v>45208</v>
      </c>
      <c r="V270" t="s">
        <v>25</v>
      </c>
      <c r="W270" t="s">
        <v>30</v>
      </c>
    </row>
    <row r="271" spans="1:23" x14ac:dyDescent="0.35">
      <c r="A271">
        <v>10890</v>
      </c>
      <c r="B271" t="s">
        <v>34</v>
      </c>
      <c r="C271">
        <v>0</v>
      </c>
      <c r="D271" t="s">
        <v>26</v>
      </c>
      <c r="E271" t="s">
        <v>26</v>
      </c>
      <c r="F271">
        <v>37</v>
      </c>
      <c r="G271" t="s">
        <v>26</v>
      </c>
      <c r="H271" t="s">
        <v>25</v>
      </c>
      <c r="I271" t="s">
        <v>35</v>
      </c>
      <c r="J271" t="s">
        <v>25</v>
      </c>
      <c r="K271" t="s">
        <v>25</v>
      </c>
      <c r="L271" t="s">
        <v>37</v>
      </c>
      <c r="M271" t="s">
        <v>26</v>
      </c>
      <c r="N271" t="s">
        <v>25</v>
      </c>
      <c r="O271" t="s">
        <v>25</v>
      </c>
      <c r="P271" t="s">
        <v>42</v>
      </c>
      <c r="Q271" t="s">
        <v>26</v>
      </c>
      <c r="R271" t="s">
        <v>33</v>
      </c>
      <c r="S271">
        <v>91.95</v>
      </c>
      <c r="T271">
        <v>6216.35</v>
      </c>
      <c r="U271">
        <v>44016</v>
      </c>
      <c r="V271" t="s">
        <v>25</v>
      </c>
      <c r="W271" t="s">
        <v>30</v>
      </c>
    </row>
    <row r="272" spans="1:23" x14ac:dyDescent="0.35">
      <c r="A272">
        <v>11888</v>
      </c>
      <c r="B272" t="s">
        <v>34</v>
      </c>
      <c r="C272" t="s">
        <v>25</v>
      </c>
      <c r="D272" t="s">
        <v>25</v>
      </c>
      <c r="E272" t="s">
        <v>25</v>
      </c>
      <c r="F272">
        <v>28</v>
      </c>
      <c r="G272" t="s">
        <v>26</v>
      </c>
      <c r="H272" t="s">
        <v>26</v>
      </c>
      <c r="I272" t="s">
        <v>35</v>
      </c>
      <c r="J272" t="s">
        <v>25</v>
      </c>
      <c r="K272" t="s">
        <v>25</v>
      </c>
      <c r="L272" t="s">
        <v>26</v>
      </c>
      <c r="M272" t="s">
        <v>37</v>
      </c>
      <c r="N272" t="s">
        <v>25</v>
      </c>
      <c r="O272" t="s">
        <v>37</v>
      </c>
      <c r="P272" t="s">
        <v>28</v>
      </c>
      <c r="Q272" t="s">
        <v>38</v>
      </c>
      <c r="R272" t="s">
        <v>29</v>
      </c>
      <c r="S272">
        <v>82.27</v>
      </c>
      <c r="T272">
        <v>2719.5</v>
      </c>
      <c r="U272">
        <v>43952</v>
      </c>
      <c r="V272" t="s">
        <v>25</v>
      </c>
      <c r="W272" t="s">
        <v>30</v>
      </c>
    </row>
    <row r="273" spans="1:23" x14ac:dyDescent="0.35">
      <c r="A273">
        <v>20979</v>
      </c>
      <c r="B273" t="s">
        <v>34</v>
      </c>
      <c r="C273" t="s">
        <v>26</v>
      </c>
      <c r="D273" t="s">
        <v>38</v>
      </c>
      <c r="E273" t="s">
        <v>25</v>
      </c>
      <c r="F273">
        <v>32</v>
      </c>
      <c r="G273" t="s">
        <v>26</v>
      </c>
      <c r="H273" t="s">
        <v>36</v>
      </c>
      <c r="I273" t="s">
        <v>25</v>
      </c>
      <c r="J273" t="s">
        <v>26</v>
      </c>
      <c r="K273" t="s">
        <v>26</v>
      </c>
      <c r="L273" t="s">
        <v>38</v>
      </c>
      <c r="M273" t="s">
        <v>38</v>
      </c>
      <c r="N273" t="s">
        <v>26</v>
      </c>
      <c r="O273" t="s">
        <v>25</v>
      </c>
      <c r="P273" t="s">
        <v>45</v>
      </c>
      <c r="Q273" t="s">
        <v>26</v>
      </c>
      <c r="R273" t="s">
        <v>39</v>
      </c>
      <c r="S273">
        <v>111.25</v>
      </c>
      <c r="T273">
        <v>127.95</v>
      </c>
      <c r="U273">
        <v>44852</v>
      </c>
      <c r="V273" t="s">
        <v>25</v>
      </c>
      <c r="W273" t="s">
        <v>30</v>
      </c>
    </row>
    <row r="274" spans="1:23" x14ac:dyDescent="0.35">
      <c r="A274">
        <v>19193</v>
      </c>
      <c r="B274" t="s">
        <v>34</v>
      </c>
      <c r="C274">
        <v>1</v>
      </c>
      <c r="D274" t="s">
        <v>26</v>
      </c>
      <c r="E274" t="s">
        <v>25</v>
      </c>
      <c r="F274">
        <v>38</v>
      </c>
      <c r="G274" t="s">
        <v>26</v>
      </c>
      <c r="H274" t="s">
        <v>25</v>
      </c>
      <c r="I274" t="s">
        <v>27</v>
      </c>
      <c r="J274" t="s">
        <v>26</v>
      </c>
      <c r="K274" t="s">
        <v>25</v>
      </c>
      <c r="L274" t="s">
        <v>25</v>
      </c>
      <c r="M274" t="s">
        <v>26</v>
      </c>
      <c r="N274" t="s">
        <v>37</v>
      </c>
      <c r="O274" t="s">
        <v>25</v>
      </c>
      <c r="P274" t="s">
        <v>28</v>
      </c>
      <c r="Q274" t="s">
        <v>25</v>
      </c>
      <c r="R274" t="s">
        <v>29</v>
      </c>
      <c r="S274">
        <v>81.63</v>
      </c>
      <c r="T274">
        <v>1601.83</v>
      </c>
      <c r="U274">
        <v>45560</v>
      </c>
      <c r="V274" t="s">
        <v>25</v>
      </c>
      <c r="W274" t="s">
        <v>30</v>
      </c>
    </row>
    <row r="275" spans="1:23" x14ac:dyDescent="0.35">
      <c r="A275">
        <v>18091</v>
      </c>
      <c r="B275" t="s">
        <v>34</v>
      </c>
      <c r="C275">
        <v>0</v>
      </c>
      <c r="D275" t="s">
        <v>26</v>
      </c>
      <c r="E275" t="s">
        <v>25</v>
      </c>
      <c r="F275">
        <v>5</v>
      </c>
      <c r="G275" t="s">
        <v>38</v>
      </c>
      <c r="H275" t="s">
        <v>47</v>
      </c>
      <c r="I275" t="s">
        <v>35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37</v>
      </c>
      <c r="P275" t="s">
        <v>32</v>
      </c>
      <c r="Q275" t="s">
        <v>25</v>
      </c>
      <c r="R275" t="s">
        <v>39</v>
      </c>
      <c r="S275">
        <v>106.52</v>
      </c>
      <c r="T275">
        <v>3693.37</v>
      </c>
      <c r="U275">
        <v>44806</v>
      </c>
      <c r="V275" t="s">
        <v>25</v>
      </c>
      <c r="W275" t="s">
        <v>30</v>
      </c>
    </row>
    <row r="276" spans="1:23" x14ac:dyDescent="0.35">
      <c r="A276">
        <v>14821</v>
      </c>
      <c r="B276" t="s">
        <v>34</v>
      </c>
      <c r="C276">
        <v>0</v>
      </c>
      <c r="D276" t="s">
        <v>25</v>
      </c>
      <c r="E276" t="s">
        <v>25</v>
      </c>
      <c r="F276">
        <v>66</v>
      </c>
      <c r="G276" t="s">
        <v>26</v>
      </c>
      <c r="H276" t="s">
        <v>25</v>
      </c>
      <c r="I276" t="s">
        <v>25</v>
      </c>
      <c r="J276" t="s">
        <v>25</v>
      </c>
      <c r="K276" t="s">
        <v>25</v>
      </c>
      <c r="L276" t="s">
        <v>26</v>
      </c>
      <c r="M276" t="s">
        <v>37</v>
      </c>
      <c r="N276" t="s">
        <v>26</v>
      </c>
      <c r="O276" t="s">
        <v>25</v>
      </c>
      <c r="P276" t="s">
        <v>32</v>
      </c>
      <c r="Q276" t="s">
        <v>25</v>
      </c>
      <c r="R276" t="s">
        <v>33</v>
      </c>
      <c r="S276">
        <v>70.25</v>
      </c>
      <c r="T276">
        <v>1741.64</v>
      </c>
      <c r="U276">
        <v>43980</v>
      </c>
      <c r="V276" t="s">
        <v>25</v>
      </c>
      <c r="W276" t="s">
        <v>30</v>
      </c>
    </row>
    <row r="277" spans="1:23" x14ac:dyDescent="0.35">
      <c r="A277">
        <v>10927</v>
      </c>
      <c r="B277" t="s">
        <v>31</v>
      </c>
      <c r="C277">
        <v>0</v>
      </c>
      <c r="D277" t="s">
        <v>25</v>
      </c>
      <c r="E277" t="s">
        <v>26</v>
      </c>
      <c r="F277">
        <v>44</v>
      </c>
      <c r="G277" t="s">
        <v>26</v>
      </c>
      <c r="H277" t="s">
        <v>47</v>
      </c>
      <c r="I277" t="s">
        <v>27</v>
      </c>
      <c r="J277" t="s">
        <v>37</v>
      </c>
      <c r="K277" t="s">
        <v>25</v>
      </c>
      <c r="L277" t="s">
        <v>37</v>
      </c>
      <c r="M277" t="s">
        <v>25</v>
      </c>
      <c r="N277" t="s">
        <v>36</v>
      </c>
      <c r="O277" t="s">
        <v>26</v>
      </c>
      <c r="P277" t="s">
        <v>41</v>
      </c>
      <c r="Q277" t="s">
        <v>25</v>
      </c>
      <c r="R277" t="s">
        <v>49</v>
      </c>
      <c r="S277">
        <v>30.49</v>
      </c>
      <c r="T277">
        <v>3602.04</v>
      </c>
      <c r="U277">
        <v>45305</v>
      </c>
      <c r="V277" t="s">
        <v>26</v>
      </c>
      <c r="W277" t="s">
        <v>30</v>
      </c>
    </row>
    <row r="278" spans="1:23" x14ac:dyDescent="0.35">
      <c r="A278">
        <v>7096</v>
      </c>
      <c r="B278" t="s">
        <v>31</v>
      </c>
      <c r="C278">
        <v>0</v>
      </c>
      <c r="D278" t="s">
        <v>25</v>
      </c>
      <c r="E278" t="s">
        <v>25</v>
      </c>
      <c r="F278">
        <v>24</v>
      </c>
      <c r="G278" t="s">
        <v>26</v>
      </c>
      <c r="H278" t="s">
        <v>25</v>
      </c>
      <c r="I278" t="s">
        <v>27</v>
      </c>
      <c r="J278" t="s">
        <v>25</v>
      </c>
      <c r="K278" t="s">
        <v>36</v>
      </c>
      <c r="L278" t="s">
        <v>25</v>
      </c>
      <c r="M278" t="s">
        <v>25</v>
      </c>
      <c r="N278" t="s">
        <v>25</v>
      </c>
      <c r="O278" t="s">
        <v>25</v>
      </c>
      <c r="P278" t="s">
        <v>41</v>
      </c>
      <c r="Q278" t="s">
        <v>26</v>
      </c>
      <c r="R278" t="s">
        <v>49</v>
      </c>
      <c r="S278">
        <v>111.13</v>
      </c>
      <c r="T278">
        <v>6178.97</v>
      </c>
      <c r="U278">
        <v>44013</v>
      </c>
      <c r="V278" t="s">
        <v>25</v>
      </c>
      <c r="W278" t="s">
        <v>30</v>
      </c>
    </row>
    <row r="279" spans="1:23" x14ac:dyDescent="0.35">
      <c r="A279">
        <v>7225</v>
      </c>
      <c r="B279" t="s">
        <v>34</v>
      </c>
      <c r="C279">
        <v>0</v>
      </c>
      <c r="D279" t="s">
        <v>25</v>
      </c>
      <c r="E279" t="s">
        <v>25</v>
      </c>
      <c r="F279">
        <v>62</v>
      </c>
      <c r="G279" t="s">
        <v>26</v>
      </c>
      <c r="H279" t="s">
        <v>47</v>
      </c>
      <c r="I279" t="s">
        <v>27</v>
      </c>
      <c r="J279" t="s">
        <v>26</v>
      </c>
      <c r="K279" t="s">
        <v>25</v>
      </c>
      <c r="L279" t="s">
        <v>37</v>
      </c>
      <c r="M279" t="s">
        <v>26</v>
      </c>
      <c r="N279" t="s">
        <v>25</v>
      </c>
      <c r="O279" t="s">
        <v>37</v>
      </c>
      <c r="P279" t="s">
        <v>45</v>
      </c>
      <c r="Q279" t="s">
        <v>38</v>
      </c>
      <c r="R279" t="s">
        <v>33</v>
      </c>
      <c r="S279">
        <v>51.05</v>
      </c>
      <c r="T279">
        <v>6990.25</v>
      </c>
      <c r="U279">
        <v>44894</v>
      </c>
      <c r="V279" t="s">
        <v>25</v>
      </c>
      <c r="W279" t="s">
        <v>30</v>
      </c>
    </row>
    <row r="280" spans="1:23" x14ac:dyDescent="0.35">
      <c r="A280">
        <v>20473</v>
      </c>
      <c r="B280" t="s">
        <v>34</v>
      </c>
      <c r="C280">
        <v>0</v>
      </c>
      <c r="D280" t="s">
        <v>36</v>
      </c>
      <c r="E280" t="s">
        <v>25</v>
      </c>
      <c r="F280">
        <v>24</v>
      </c>
      <c r="G280" t="s">
        <v>26</v>
      </c>
      <c r="H280" t="s">
        <v>47</v>
      </c>
      <c r="I280" t="s">
        <v>35</v>
      </c>
      <c r="J280" t="s">
        <v>37</v>
      </c>
      <c r="K280" t="s">
        <v>38</v>
      </c>
      <c r="L280" t="s">
        <v>25</v>
      </c>
      <c r="M280" t="s">
        <v>37</v>
      </c>
      <c r="N280" t="s">
        <v>25</v>
      </c>
      <c r="O280" t="s">
        <v>25</v>
      </c>
      <c r="P280" t="s">
        <v>45</v>
      </c>
      <c r="Q280" t="s">
        <v>25</v>
      </c>
      <c r="R280" t="s">
        <v>29</v>
      </c>
      <c r="S280">
        <v>94.91</v>
      </c>
      <c r="T280">
        <v>5616.75</v>
      </c>
      <c r="U280">
        <v>44149</v>
      </c>
      <c r="V280" t="s">
        <v>25</v>
      </c>
      <c r="W280" t="s">
        <v>30</v>
      </c>
    </row>
    <row r="281" spans="1:23" x14ac:dyDescent="0.35">
      <c r="A281">
        <v>14458</v>
      </c>
      <c r="B281" t="s">
        <v>34</v>
      </c>
      <c r="C281" t="s">
        <v>25</v>
      </c>
      <c r="D281" t="s">
        <v>26</v>
      </c>
      <c r="E281" t="s">
        <v>26</v>
      </c>
      <c r="F281">
        <v>20</v>
      </c>
      <c r="G281" t="s">
        <v>26</v>
      </c>
      <c r="H281" t="s">
        <v>47</v>
      </c>
      <c r="I281" t="s">
        <v>27</v>
      </c>
      <c r="J281" t="s">
        <v>36</v>
      </c>
      <c r="K281" t="s">
        <v>38</v>
      </c>
      <c r="L281" t="s">
        <v>26</v>
      </c>
      <c r="M281" t="s">
        <v>37</v>
      </c>
      <c r="N281" t="s">
        <v>26</v>
      </c>
      <c r="O281" t="s">
        <v>36</v>
      </c>
      <c r="P281" t="s">
        <v>32</v>
      </c>
      <c r="Q281" t="s">
        <v>26</v>
      </c>
      <c r="R281" t="s">
        <v>49</v>
      </c>
      <c r="S281">
        <v>72.599999999999994</v>
      </c>
      <c r="T281">
        <v>2032.82</v>
      </c>
      <c r="U281">
        <v>44380</v>
      </c>
      <c r="V281" t="s">
        <v>25</v>
      </c>
      <c r="W281" t="s">
        <v>30</v>
      </c>
    </row>
    <row r="282" spans="1:23" x14ac:dyDescent="0.35">
      <c r="A282">
        <v>4700</v>
      </c>
      <c r="B282" t="s">
        <v>34</v>
      </c>
      <c r="C282">
        <v>0</v>
      </c>
      <c r="D282" t="s">
        <v>38</v>
      </c>
      <c r="E282" t="s">
        <v>26</v>
      </c>
      <c r="F282">
        <v>58</v>
      </c>
      <c r="G282" t="s">
        <v>26</v>
      </c>
      <c r="H282" t="s">
        <v>26</v>
      </c>
      <c r="I282" t="s">
        <v>27</v>
      </c>
      <c r="J282" t="s">
        <v>37</v>
      </c>
      <c r="K282" t="s">
        <v>25</v>
      </c>
      <c r="L282" t="s">
        <v>37</v>
      </c>
      <c r="M282" t="s">
        <v>25</v>
      </c>
      <c r="N282" t="s">
        <v>37</v>
      </c>
      <c r="O282" t="s">
        <v>26</v>
      </c>
      <c r="P282" t="s">
        <v>32</v>
      </c>
      <c r="Q282" t="s">
        <v>25</v>
      </c>
      <c r="R282" t="s">
        <v>33</v>
      </c>
      <c r="T282">
        <v>3994.71</v>
      </c>
      <c r="U282">
        <v>44247</v>
      </c>
      <c r="V282" t="s">
        <v>25</v>
      </c>
      <c r="W282" t="s">
        <v>30</v>
      </c>
    </row>
    <row r="283" spans="1:23" x14ac:dyDescent="0.35">
      <c r="A283">
        <v>16895</v>
      </c>
      <c r="B283" t="s">
        <v>34</v>
      </c>
      <c r="C283">
        <v>0</v>
      </c>
      <c r="D283" t="s">
        <v>26</v>
      </c>
      <c r="E283" t="s">
        <v>25</v>
      </c>
      <c r="F283">
        <v>9</v>
      </c>
      <c r="G283" t="s">
        <v>26</v>
      </c>
      <c r="H283" t="s">
        <v>26</v>
      </c>
      <c r="I283" t="s">
        <v>35</v>
      </c>
      <c r="J283" t="s">
        <v>26</v>
      </c>
      <c r="K283" t="s">
        <v>25</v>
      </c>
      <c r="L283" t="s">
        <v>26</v>
      </c>
      <c r="M283" t="s">
        <v>37</v>
      </c>
      <c r="N283" t="s">
        <v>26</v>
      </c>
      <c r="O283" t="s">
        <v>36</v>
      </c>
      <c r="P283" t="s">
        <v>32</v>
      </c>
      <c r="Q283" t="s">
        <v>26</v>
      </c>
      <c r="R283" t="s">
        <v>39</v>
      </c>
      <c r="S283">
        <v>51.58</v>
      </c>
      <c r="T283">
        <v>123.53</v>
      </c>
      <c r="U283">
        <v>43866</v>
      </c>
      <c r="V283" t="s">
        <v>25</v>
      </c>
      <c r="W283" t="s">
        <v>30</v>
      </c>
    </row>
    <row r="284" spans="1:23" x14ac:dyDescent="0.35">
      <c r="A284">
        <v>2528</v>
      </c>
      <c r="B284" t="s">
        <v>34</v>
      </c>
      <c r="C284" t="s">
        <v>25</v>
      </c>
      <c r="D284" t="s">
        <v>26</v>
      </c>
      <c r="E284" t="s">
        <v>25</v>
      </c>
      <c r="F284">
        <v>41</v>
      </c>
      <c r="G284" t="s">
        <v>26</v>
      </c>
      <c r="H284" t="s">
        <v>25</v>
      </c>
      <c r="I284" t="s">
        <v>35</v>
      </c>
      <c r="J284" t="s">
        <v>25</v>
      </c>
      <c r="K284" t="s">
        <v>26</v>
      </c>
      <c r="L284" t="s">
        <v>25</v>
      </c>
      <c r="M284" t="s">
        <v>26</v>
      </c>
      <c r="N284" t="s">
        <v>25</v>
      </c>
      <c r="O284" t="s">
        <v>37</v>
      </c>
      <c r="P284" t="s">
        <v>42</v>
      </c>
      <c r="Q284" t="s">
        <v>26</v>
      </c>
      <c r="R284" t="s">
        <v>33</v>
      </c>
      <c r="T284">
        <v>7632.04</v>
      </c>
      <c r="U284">
        <v>45095</v>
      </c>
      <c r="V284" t="s">
        <v>25</v>
      </c>
      <c r="W284" t="s">
        <v>30</v>
      </c>
    </row>
    <row r="285" spans="1:23" x14ac:dyDescent="0.35">
      <c r="A285">
        <v>19532</v>
      </c>
      <c r="B285" t="s">
        <v>34</v>
      </c>
      <c r="C285">
        <v>0</v>
      </c>
      <c r="D285" t="s">
        <v>25</v>
      </c>
      <c r="E285" t="s">
        <v>25</v>
      </c>
      <c r="F285">
        <v>35</v>
      </c>
      <c r="G285" t="s">
        <v>26</v>
      </c>
      <c r="H285" t="s">
        <v>25</v>
      </c>
      <c r="I285" t="s">
        <v>27</v>
      </c>
      <c r="J285" t="s">
        <v>25</v>
      </c>
      <c r="K285" t="s">
        <v>25</v>
      </c>
      <c r="L285" t="s">
        <v>36</v>
      </c>
      <c r="M285" t="s">
        <v>26</v>
      </c>
      <c r="N285" t="s">
        <v>36</v>
      </c>
      <c r="O285" t="s">
        <v>25</v>
      </c>
      <c r="P285" t="s">
        <v>28</v>
      </c>
      <c r="Q285" t="s">
        <v>25</v>
      </c>
      <c r="R285" t="s">
        <v>39</v>
      </c>
      <c r="S285">
        <v>110.37</v>
      </c>
      <c r="U285">
        <v>44474</v>
      </c>
      <c r="V285" t="s">
        <v>25</v>
      </c>
      <c r="W285" t="s">
        <v>30</v>
      </c>
    </row>
    <row r="286" spans="1:23" x14ac:dyDescent="0.35">
      <c r="A286">
        <v>3335</v>
      </c>
      <c r="B286" t="s">
        <v>34</v>
      </c>
      <c r="C286" t="s">
        <v>26</v>
      </c>
      <c r="D286" t="s">
        <v>25</v>
      </c>
      <c r="E286" t="s">
        <v>25</v>
      </c>
      <c r="F286">
        <v>55</v>
      </c>
      <c r="G286" t="s">
        <v>26</v>
      </c>
      <c r="H286" t="s">
        <v>26</v>
      </c>
      <c r="I286" t="s">
        <v>35</v>
      </c>
      <c r="J286" t="s">
        <v>26</v>
      </c>
      <c r="K286" t="s">
        <v>37</v>
      </c>
      <c r="L286" t="s">
        <v>37</v>
      </c>
      <c r="M286" t="s">
        <v>38</v>
      </c>
      <c r="N286" t="s">
        <v>37</v>
      </c>
      <c r="O286" t="s">
        <v>37</v>
      </c>
      <c r="P286" t="s">
        <v>32</v>
      </c>
      <c r="Q286" t="s">
        <v>26</v>
      </c>
      <c r="R286" t="s">
        <v>49</v>
      </c>
      <c r="S286">
        <v>79.650000000000006</v>
      </c>
      <c r="T286">
        <v>6415.87</v>
      </c>
      <c r="U286">
        <v>45270</v>
      </c>
      <c r="V286" t="s">
        <v>25</v>
      </c>
      <c r="W286" t="s">
        <v>30</v>
      </c>
    </row>
    <row r="287" spans="1:23" x14ac:dyDescent="0.35">
      <c r="A287">
        <v>17241</v>
      </c>
      <c r="B287" t="s">
        <v>31</v>
      </c>
      <c r="C287">
        <v>0</v>
      </c>
      <c r="D287" t="s">
        <v>25</v>
      </c>
      <c r="E287" t="s">
        <v>36</v>
      </c>
      <c r="F287">
        <v>11</v>
      </c>
      <c r="G287" t="s">
        <v>26</v>
      </c>
      <c r="H287" t="s">
        <v>26</v>
      </c>
      <c r="I287" t="s">
        <v>27</v>
      </c>
      <c r="J287" t="s">
        <v>26</v>
      </c>
      <c r="K287" t="s">
        <v>25</v>
      </c>
      <c r="L287" t="s">
        <v>25</v>
      </c>
      <c r="M287" t="s">
        <v>25</v>
      </c>
      <c r="N287" t="s">
        <v>26</v>
      </c>
      <c r="O287" t="s">
        <v>26</v>
      </c>
      <c r="P287" t="s">
        <v>42</v>
      </c>
      <c r="Q287" t="s">
        <v>25</v>
      </c>
      <c r="R287" t="s">
        <v>29</v>
      </c>
      <c r="S287">
        <v>61.19</v>
      </c>
      <c r="T287">
        <v>2574.8000000000002</v>
      </c>
      <c r="U287">
        <v>44332</v>
      </c>
      <c r="V287" t="s">
        <v>25</v>
      </c>
      <c r="W287" t="s">
        <v>30</v>
      </c>
    </row>
    <row r="288" spans="1:23" x14ac:dyDescent="0.35">
      <c r="A288">
        <v>8177</v>
      </c>
      <c r="B288" t="s">
        <v>1</v>
      </c>
      <c r="C288" t="s">
        <v>25</v>
      </c>
      <c r="D288" t="s">
        <v>26</v>
      </c>
      <c r="E288" t="s">
        <v>26</v>
      </c>
      <c r="F288">
        <v>35</v>
      </c>
      <c r="G288" t="s">
        <v>26</v>
      </c>
      <c r="H288" t="s">
        <v>47</v>
      </c>
      <c r="I288" t="s">
        <v>27</v>
      </c>
      <c r="J288" t="s">
        <v>25</v>
      </c>
      <c r="K288" t="s">
        <v>38</v>
      </c>
      <c r="L288" t="s">
        <v>36</v>
      </c>
      <c r="M288" t="s">
        <v>25</v>
      </c>
      <c r="N288" t="s">
        <v>36</v>
      </c>
      <c r="O288" t="s">
        <v>37</v>
      </c>
      <c r="P288" t="s">
        <v>48</v>
      </c>
      <c r="Q288" t="s">
        <v>25</v>
      </c>
      <c r="R288" t="s">
        <v>39</v>
      </c>
      <c r="S288">
        <v>46.21</v>
      </c>
      <c r="T288">
        <v>1973.42</v>
      </c>
      <c r="U288">
        <v>45525</v>
      </c>
      <c r="V288" t="s">
        <v>25</v>
      </c>
      <c r="W288" t="s">
        <v>30</v>
      </c>
    </row>
    <row r="289" spans="1:23" x14ac:dyDescent="0.35">
      <c r="A289">
        <v>19111</v>
      </c>
      <c r="B289" t="s">
        <v>31</v>
      </c>
      <c r="C289">
        <v>0</v>
      </c>
      <c r="D289" t="s">
        <v>26</v>
      </c>
      <c r="E289" t="s">
        <v>26</v>
      </c>
      <c r="F289">
        <v>17</v>
      </c>
      <c r="G289" t="s">
        <v>26</v>
      </c>
      <c r="H289" t="s">
        <v>25</v>
      </c>
      <c r="I289" t="s">
        <v>35</v>
      </c>
      <c r="J289" t="s">
        <v>36</v>
      </c>
      <c r="K289" t="s">
        <v>25</v>
      </c>
      <c r="L289" t="s">
        <v>26</v>
      </c>
      <c r="M289" t="s">
        <v>37</v>
      </c>
      <c r="N289" t="s">
        <v>37</v>
      </c>
      <c r="O289" t="s">
        <v>37</v>
      </c>
      <c r="P289" t="s">
        <v>32</v>
      </c>
      <c r="Q289" t="s">
        <v>25</v>
      </c>
      <c r="R289" t="s">
        <v>49</v>
      </c>
      <c r="S289">
        <v>89.79</v>
      </c>
      <c r="T289">
        <v>3348.35</v>
      </c>
      <c r="U289">
        <v>45381</v>
      </c>
      <c r="V289" t="s">
        <v>25</v>
      </c>
      <c r="W289" t="s">
        <v>30</v>
      </c>
    </row>
    <row r="290" spans="1:23" x14ac:dyDescent="0.35">
      <c r="A290">
        <v>9710</v>
      </c>
      <c r="B290" t="s">
        <v>31</v>
      </c>
      <c r="C290">
        <v>1</v>
      </c>
      <c r="D290" t="s">
        <v>26</v>
      </c>
      <c r="E290" t="s">
        <v>26</v>
      </c>
      <c r="F290">
        <v>8</v>
      </c>
      <c r="G290" t="s">
        <v>26</v>
      </c>
      <c r="H290" t="s">
        <v>25</v>
      </c>
      <c r="I290" t="s">
        <v>35</v>
      </c>
      <c r="J290" t="s">
        <v>25</v>
      </c>
      <c r="K290" t="s">
        <v>25</v>
      </c>
      <c r="L290" t="s">
        <v>25</v>
      </c>
      <c r="M290" t="s">
        <v>26</v>
      </c>
      <c r="N290" t="s">
        <v>26</v>
      </c>
      <c r="O290" t="s">
        <v>25</v>
      </c>
      <c r="P290" t="s">
        <v>32</v>
      </c>
      <c r="Q290" t="s">
        <v>25</v>
      </c>
      <c r="R290" t="s">
        <v>49</v>
      </c>
      <c r="S290">
        <v>79.69</v>
      </c>
      <c r="T290">
        <v>7556.49</v>
      </c>
      <c r="U290">
        <v>45305</v>
      </c>
      <c r="V290" t="s">
        <v>25</v>
      </c>
      <c r="W290" t="s">
        <v>30</v>
      </c>
    </row>
    <row r="291" spans="1:23" x14ac:dyDescent="0.35">
      <c r="A291">
        <v>5418</v>
      </c>
      <c r="B291" t="s">
        <v>34</v>
      </c>
      <c r="C291">
        <v>0</v>
      </c>
      <c r="D291" t="s">
        <v>25</v>
      </c>
      <c r="E291" t="s">
        <v>38</v>
      </c>
      <c r="F291">
        <v>37</v>
      </c>
      <c r="G291" t="s">
        <v>25</v>
      </c>
      <c r="H291" t="s">
        <v>47</v>
      </c>
      <c r="I291" t="s">
        <v>35</v>
      </c>
      <c r="J291" t="s">
        <v>37</v>
      </c>
      <c r="K291" t="s">
        <v>37</v>
      </c>
      <c r="L291" t="s">
        <v>26</v>
      </c>
      <c r="M291" t="s">
        <v>25</v>
      </c>
      <c r="N291" t="s">
        <v>25</v>
      </c>
      <c r="O291" t="s">
        <v>25</v>
      </c>
      <c r="P291" t="s">
        <v>32</v>
      </c>
      <c r="Q291" t="s">
        <v>26</v>
      </c>
      <c r="R291" t="s">
        <v>29</v>
      </c>
      <c r="S291">
        <v>65.09</v>
      </c>
      <c r="T291">
        <v>1059.93</v>
      </c>
      <c r="U291">
        <v>45035</v>
      </c>
      <c r="V291" t="s">
        <v>25</v>
      </c>
      <c r="W291" t="s">
        <v>30</v>
      </c>
    </row>
    <row r="292" spans="1:23" x14ac:dyDescent="0.35">
      <c r="A292">
        <v>7374</v>
      </c>
      <c r="B292" t="s">
        <v>0</v>
      </c>
      <c r="C292">
        <v>0</v>
      </c>
      <c r="D292" t="s">
        <v>25</v>
      </c>
      <c r="E292" t="s">
        <v>36</v>
      </c>
      <c r="F292">
        <v>41</v>
      </c>
      <c r="G292" t="s">
        <v>26</v>
      </c>
      <c r="H292" t="s">
        <v>25</v>
      </c>
      <c r="I292" t="s">
        <v>27</v>
      </c>
      <c r="J292" t="s">
        <v>25</v>
      </c>
      <c r="K292" t="s">
        <v>26</v>
      </c>
      <c r="L292" t="s">
        <v>26</v>
      </c>
      <c r="M292" t="s">
        <v>25</v>
      </c>
      <c r="N292" t="s">
        <v>25</v>
      </c>
      <c r="O292" t="s">
        <v>36</v>
      </c>
      <c r="P292" t="s">
        <v>28</v>
      </c>
      <c r="Q292" t="s">
        <v>26</v>
      </c>
      <c r="R292" t="s">
        <v>39</v>
      </c>
      <c r="S292">
        <v>39.049999999999997</v>
      </c>
      <c r="T292">
        <v>5949.9</v>
      </c>
      <c r="U292">
        <v>43955</v>
      </c>
      <c r="V292" t="s">
        <v>25</v>
      </c>
      <c r="W292" t="s">
        <v>30</v>
      </c>
    </row>
    <row r="293" spans="1:23" x14ac:dyDescent="0.35">
      <c r="A293">
        <v>18975</v>
      </c>
      <c r="B293" t="s">
        <v>31</v>
      </c>
      <c r="C293">
        <v>1</v>
      </c>
      <c r="D293" t="s">
        <v>25</v>
      </c>
      <c r="E293" t="s">
        <v>25</v>
      </c>
      <c r="F293">
        <v>31</v>
      </c>
      <c r="G293" t="s">
        <v>26</v>
      </c>
      <c r="H293" t="s">
        <v>26</v>
      </c>
      <c r="I293" t="s">
        <v>25</v>
      </c>
      <c r="J293" t="s">
        <v>37</v>
      </c>
      <c r="K293" t="s">
        <v>25</v>
      </c>
      <c r="L293" t="s">
        <v>25</v>
      </c>
      <c r="M293" t="s">
        <v>25</v>
      </c>
      <c r="N293" t="s">
        <v>26</v>
      </c>
      <c r="O293" t="s">
        <v>26</v>
      </c>
      <c r="P293" t="s">
        <v>42</v>
      </c>
      <c r="Q293" t="s">
        <v>25</v>
      </c>
      <c r="R293" t="s">
        <v>49</v>
      </c>
      <c r="S293">
        <v>37.049999999999997</v>
      </c>
      <c r="T293">
        <v>6489.91</v>
      </c>
      <c r="U293">
        <v>43924</v>
      </c>
      <c r="V293" t="s">
        <v>25</v>
      </c>
      <c r="W293" t="s">
        <v>30</v>
      </c>
    </row>
    <row r="294" spans="1:23" x14ac:dyDescent="0.35">
      <c r="A294">
        <v>2273</v>
      </c>
      <c r="B294" t="s">
        <v>31</v>
      </c>
      <c r="C294">
        <v>0</v>
      </c>
      <c r="D294" t="s">
        <v>26</v>
      </c>
      <c r="E294" t="s">
        <v>25</v>
      </c>
      <c r="F294">
        <v>36</v>
      </c>
      <c r="G294" t="s">
        <v>38</v>
      </c>
      <c r="H294" t="s">
        <v>26</v>
      </c>
      <c r="I294" t="s">
        <v>25</v>
      </c>
      <c r="J294" t="s">
        <v>38</v>
      </c>
      <c r="K294" t="s">
        <v>25</v>
      </c>
      <c r="L294" t="s">
        <v>37</v>
      </c>
      <c r="M294" t="s">
        <v>26</v>
      </c>
      <c r="N294" t="s">
        <v>25</v>
      </c>
      <c r="O294" t="s">
        <v>26</v>
      </c>
      <c r="P294" t="s">
        <v>42</v>
      </c>
      <c r="Q294" t="s">
        <v>26</v>
      </c>
      <c r="R294" t="s">
        <v>44</v>
      </c>
      <c r="S294">
        <v>43.25</v>
      </c>
      <c r="T294">
        <v>1814.47</v>
      </c>
      <c r="U294">
        <v>44730</v>
      </c>
      <c r="V294" t="s">
        <v>26</v>
      </c>
      <c r="W294" t="s">
        <v>30</v>
      </c>
    </row>
    <row r="295" spans="1:23" x14ac:dyDescent="0.35">
      <c r="A295">
        <v>4353</v>
      </c>
      <c r="B295" t="s">
        <v>0</v>
      </c>
      <c r="C295">
        <v>0</v>
      </c>
      <c r="D295" t="s">
        <v>25</v>
      </c>
      <c r="E295" t="s">
        <v>26</v>
      </c>
      <c r="F295">
        <v>25</v>
      </c>
      <c r="G295" t="s">
        <v>26</v>
      </c>
      <c r="H295" t="s">
        <v>25</v>
      </c>
      <c r="I295" t="s">
        <v>27</v>
      </c>
      <c r="J295" t="s">
        <v>26</v>
      </c>
      <c r="K295" t="s">
        <v>38</v>
      </c>
      <c r="L295" t="s">
        <v>36</v>
      </c>
      <c r="M295" t="s">
        <v>26</v>
      </c>
      <c r="N295" t="s">
        <v>25</v>
      </c>
      <c r="O295" t="s">
        <v>26</v>
      </c>
      <c r="P295" t="s">
        <v>32</v>
      </c>
      <c r="Q295" t="s">
        <v>26</v>
      </c>
      <c r="R295" t="s">
        <v>33</v>
      </c>
      <c r="S295">
        <v>86.48</v>
      </c>
      <c r="T295">
        <v>4196.0200000000004</v>
      </c>
      <c r="U295">
        <v>45249</v>
      </c>
      <c r="V295" t="s">
        <v>25</v>
      </c>
      <c r="W295" t="s">
        <v>30</v>
      </c>
    </row>
    <row r="296" spans="1:23" x14ac:dyDescent="0.35">
      <c r="A296">
        <v>4270</v>
      </c>
      <c r="B296" t="s">
        <v>31</v>
      </c>
      <c r="C296" t="s">
        <v>25</v>
      </c>
      <c r="D296" t="s">
        <v>25</v>
      </c>
      <c r="E296" t="s">
        <v>25</v>
      </c>
      <c r="F296">
        <v>30</v>
      </c>
      <c r="G296" t="s">
        <v>26</v>
      </c>
      <c r="H296" t="s">
        <v>26</v>
      </c>
      <c r="I296" t="s">
        <v>27</v>
      </c>
      <c r="J296" t="s">
        <v>25</v>
      </c>
      <c r="K296" t="s">
        <v>26</v>
      </c>
      <c r="L296" t="s">
        <v>37</v>
      </c>
      <c r="M296" t="s">
        <v>26</v>
      </c>
      <c r="N296" t="s">
        <v>25</v>
      </c>
      <c r="O296" t="s">
        <v>25</v>
      </c>
      <c r="P296" t="s">
        <v>48</v>
      </c>
      <c r="Q296" t="s">
        <v>25</v>
      </c>
      <c r="R296" t="s">
        <v>39</v>
      </c>
      <c r="S296">
        <v>95.49</v>
      </c>
      <c r="T296">
        <v>2312</v>
      </c>
      <c r="U296">
        <v>43905</v>
      </c>
      <c r="V296" t="s">
        <v>25</v>
      </c>
      <c r="W296" t="s">
        <v>30</v>
      </c>
    </row>
    <row r="297" spans="1:23" x14ac:dyDescent="0.35">
      <c r="A297">
        <v>13278</v>
      </c>
      <c r="B297" t="s">
        <v>31</v>
      </c>
      <c r="C297">
        <v>0</v>
      </c>
      <c r="D297" t="s">
        <v>38</v>
      </c>
      <c r="E297" t="s">
        <v>25</v>
      </c>
      <c r="F297">
        <v>4</v>
      </c>
      <c r="G297" t="s">
        <v>38</v>
      </c>
      <c r="H297" t="s">
        <v>47</v>
      </c>
      <c r="I297" t="s">
        <v>35</v>
      </c>
      <c r="J297" t="s">
        <v>37</v>
      </c>
      <c r="K297" t="s">
        <v>25</v>
      </c>
      <c r="L297" t="s">
        <v>25</v>
      </c>
      <c r="M297" t="s">
        <v>25</v>
      </c>
      <c r="N297" t="s">
        <v>26</v>
      </c>
      <c r="O297" t="s">
        <v>37</v>
      </c>
      <c r="P297" t="s">
        <v>32</v>
      </c>
      <c r="Q297" t="s">
        <v>26</v>
      </c>
      <c r="R297" t="s">
        <v>49</v>
      </c>
      <c r="S297">
        <v>76.849999999999994</v>
      </c>
      <c r="T297">
        <v>1274.2</v>
      </c>
      <c r="U297">
        <v>43961</v>
      </c>
      <c r="V297" t="s">
        <v>25</v>
      </c>
      <c r="W297" t="s">
        <v>30</v>
      </c>
    </row>
    <row r="298" spans="1:23" x14ac:dyDescent="0.35">
      <c r="A298">
        <v>11330</v>
      </c>
      <c r="B298" t="s">
        <v>46</v>
      </c>
      <c r="C298">
        <v>0</v>
      </c>
      <c r="D298" t="s">
        <v>26</v>
      </c>
      <c r="E298" t="s">
        <v>26</v>
      </c>
      <c r="F298">
        <v>18</v>
      </c>
      <c r="G298" t="s">
        <v>36</v>
      </c>
      <c r="H298" t="s">
        <v>26</v>
      </c>
      <c r="I298" t="s">
        <v>27</v>
      </c>
      <c r="J298" t="s">
        <v>25</v>
      </c>
      <c r="K298" t="s">
        <v>25</v>
      </c>
      <c r="L298" t="s">
        <v>36</v>
      </c>
      <c r="M298" t="s">
        <v>37</v>
      </c>
      <c r="N298" t="s">
        <v>37</v>
      </c>
      <c r="O298" t="s">
        <v>37</v>
      </c>
      <c r="P298" t="s">
        <v>45</v>
      </c>
      <c r="Q298" t="s">
        <v>36</v>
      </c>
      <c r="R298" t="s">
        <v>43</v>
      </c>
      <c r="S298">
        <v>39.35</v>
      </c>
      <c r="T298">
        <v>5088.54</v>
      </c>
      <c r="U298">
        <v>43897</v>
      </c>
      <c r="V298" t="s">
        <v>25</v>
      </c>
      <c r="W298" t="s">
        <v>30</v>
      </c>
    </row>
    <row r="299" spans="1:23" x14ac:dyDescent="0.35">
      <c r="A299">
        <v>12149</v>
      </c>
      <c r="B299" t="s">
        <v>46</v>
      </c>
      <c r="C299">
        <v>0</v>
      </c>
      <c r="D299" t="s">
        <v>25</v>
      </c>
      <c r="E299" t="s">
        <v>25</v>
      </c>
      <c r="F299">
        <v>8</v>
      </c>
      <c r="G299" t="s">
        <v>36</v>
      </c>
      <c r="H299" t="s">
        <v>25</v>
      </c>
      <c r="I299" t="s">
        <v>35</v>
      </c>
      <c r="J299" t="s">
        <v>26</v>
      </c>
      <c r="K299" t="s">
        <v>37</v>
      </c>
      <c r="L299" t="s">
        <v>36</v>
      </c>
      <c r="M299" t="s">
        <v>25</v>
      </c>
      <c r="N299" t="s">
        <v>37</v>
      </c>
      <c r="O299" t="s">
        <v>26</v>
      </c>
      <c r="P299" t="s">
        <v>32</v>
      </c>
      <c r="Q299" t="s">
        <v>26</v>
      </c>
      <c r="R299" t="s">
        <v>39</v>
      </c>
      <c r="S299">
        <v>108.45</v>
      </c>
      <c r="T299">
        <v>3965.56</v>
      </c>
      <c r="U299">
        <v>44835</v>
      </c>
      <c r="V299" t="s">
        <v>25</v>
      </c>
      <c r="W299" t="s">
        <v>30</v>
      </c>
    </row>
    <row r="300" spans="1:23" x14ac:dyDescent="0.35">
      <c r="A300">
        <v>13532</v>
      </c>
      <c r="B300" t="s">
        <v>31</v>
      </c>
      <c r="C300">
        <v>0</v>
      </c>
      <c r="D300" t="s">
        <v>25</v>
      </c>
      <c r="E300" t="s">
        <v>25</v>
      </c>
      <c r="F300">
        <v>41</v>
      </c>
      <c r="G300" t="s">
        <v>26</v>
      </c>
      <c r="H300" t="s">
        <v>25</v>
      </c>
      <c r="I300" t="s">
        <v>52</v>
      </c>
      <c r="J300" t="s">
        <v>36</v>
      </c>
      <c r="K300" t="s">
        <v>25</v>
      </c>
      <c r="L300" t="s">
        <v>37</v>
      </c>
      <c r="M300" t="s">
        <v>25</v>
      </c>
      <c r="N300" t="s">
        <v>25</v>
      </c>
      <c r="O300" t="s">
        <v>38</v>
      </c>
      <c r="P300" t="s">
        <v>32</v>
      </c>
      <c r="Q300" t="s">
        <v>36</v>
      </c>
      <c r="R300" t="s">
        <v>29</v>
      </c>
      <c r="S300">
        <v>75.33</v>
      </c>
      <c r="T300">
        <v>481.2</v>
      </c>
      <c r="U300">
        <v>44923</v>
      </c>
      <c r="V300" t="s">
        <v>25</v>
      </c>
      <c r="W300" t="s">
        <v>30</v>
      </c>
    </row>
    <row r="301" spans="1:23" x14ac:dyDescent="0.35">
      <c r="A301">
        <v>12226</v>
      </c>
      <c r="B301" t="s">
        <v>31</v>
      </c>
      <c r="C301">
        <v>0</v>
      </c>
      <c r="D301" t="s">
        <v>26</v>
      </c>
      <c r="E301" t="s">
        <v>25</v>
      </c>
      <c r="F301">
        <v>61</v>
      </c>
      <c r="G301" t="s">
        <v>26</v>
      </c>
      <c r="H301" t="s">
        <v>26</v>
      </c>
      <c r="I301" t="s">
        <v>35</v>
      </c>
      <c r="J301" t="s">
        <v>26</v>
      </c>
      <c r="K301" t="s">
        <v>25</v>
      </c>
      <c r="L301" t="s">
        <v>25</v>
      </c>
      <c r="M301" t="s">
        <v>26</v>
      </c>
      <c r="N301" t="s">
        <v>37</v>
      </c>
      <c r="O301" t="s">
        <v>36</v>
      </c>
      <c r="P301" t="s">
        <v>32</v>
      </c>
      <c r="Q301" t="s">
        <v>25</v>
      </c>
      <c r="R301" t="s">
        <v>39</v>
      </c>
      <c r="S301">
        <v>96.13</v>
      </c>
      <c r="T301">
        <v>2977.53</v>
      </c>
      <c r="U301">
        <v>44792</v>
      </c>
      <c r="V301" t="s">
        <v>26</v>
      </c>
      <c r="W301" t="s">
        <v>30</v>
      </c>
    </row>
    <row r="302" spans="1:23" x14ac:dyDescent="0.35">
      <c r="A302">
        <v>6225</v>
      </c>
      <c r="B302" t="s">
        <v>34</v>
      </c>
      <c r="C302">
        <v>0</v>
      </c>
      <c r="D302" t="s">
        <v>25</v>
      </c>
      <c r="E302" t="s">
        <v>26</v>
      </c>
      <c r="F302">
        <v>29</v>
      </c>
      <c r="G302" t="s">
        <v>26</v>
      </c>
      <c r="H302" t="s">
        <v>26</v>
      </c>
      <c r="I302" t="s">
        <v>25</v>
      </c>
      <c r="J302" t="s">
        <v>25</v>
      </c>
      <c r="K302" t="s">
        <v>26</v>
      </c>
      <c r="L302" t="s">
        <v>25</v>
      </c>
      <c r="M302" t="s">
        <v>25</v>
      </c>
      <c r="N302" t="s">
        <v>25</v>
      </c>
      <c r="O302" t="s">
        <v>37</v>
      </c>
      <c r="P302" t="s">
        <v>28</v>
      </c>
      <c r="Q302" t="s">
        <v>25</v>
      </c>
      <c r="R302" t="s">
        <v>29</v>
      </c>
      <c r="S302">
        <v>112.43</v>
      </c>
      <c r="T302">
        <v>2840.76</v>
      </c>
      <c r="U302">
        <v>44279</v>
      </c>
      <c r="V302" t="s">
        <v>25</v>
      </c>
      <c r="W302" t="s">
        <v>30</v>
      </c>
    </row>
    <row r="303" spans="1:23" x14ac:dyDescent="0.35">
      <c r="A303">
        <v>13325</v>
      </c>
      <c r="B303" t="s">
        <v>34</v>
      </c>
      <c r="C303">
        <v>0</v>
      </c>
      <c r="D303" t="s">
        <v>38</v>
      </c>
      <c r="E303" t="s">
        <v>26</v>
      </c>
      <c r="F303">
        <v>7</v>
      </c>
      <c r="G303" t="s">
        <v>26</v>
      </c>
      <c r="H303" t="s">
        <v>25</v>
      </c>
      <c r="I303" t="s">
        <v>35</v>
      </c>
      <c r="J303" t="s">
        <v>25</v>
      </c>
      <c r="K303" t="s">
        <v>26</v>
      </c>
      <c r="L303" t="s">
        <v>26</v>
      </c>
      <c r="M303" t="s">
        <v>25</v>
      </c>
      <c r="N303" t="s">
        <v>26</v>
      </c>
      <c r="O303" t="s">
        <v>26</v>
      </c>
      <c r="P303" t="s">
        <v>45</v>
      </c>
      <c r="Q303" t="s">
        <v>25</v>
      </c>
      <c r="R303" t="s">
        <v>49</v>
      </c>
      <c r="S303">
        <v>21.19</v>
      </c>
      <c r="T303">
        <v>3670.14</v>
      </c>
      <c r="U303">
        <v>44046</v>
      </c>
      <c r="V303" t="s">
        <v>25</v>
      </c>
      <c r="W303" t="s">
        <v>30</v>
      </c>
    </row>
    <row r="304" spans="1:23" x14ac:dyDescent="0.35">
      <c r="A304">
        <v>11295</v>
      </c>
      <c r="B304" t="s">
        <v>31</v>
      </c>
      <c r="C304" t="s">
        <v>25</v>
      </c>
      <c r="D304" t="s">
        <v>25</v>
      </c>
      <c r="E304" t="s">
        <v>25</v>
      </c>
      <c r="F304">
        <v>51</v>
      </c>
      <c r="G304" t="s">
        <v>25</v>
      </c>
      <c r="H304" t="s">
        <v>25</v>
      </c>
      <c r="I304" t="s">
        <v>35</v>
      </c>
      <c r="J304" t="s">
        <v>37</v>
      </c>
      <c r="K304" t="s">
        <v>25</v>
      </c>
      <c r="L304" t="s">
        <v>26</v>
      </c>
      <c r="M304" t="s">
        <v>25</v>
      </c>
      <c r="N304" t="s">
        <v>25</v>
      </c>
      <c r="O304" t="s">
        <v>25</v>
      </c>
      <c r="P304" t="s">
        <v>32</v>
      </c>
      <c r="Q304" t="s">
        <v>25</v>
      </c>
      <c r="R304" t="s">
        <v>43</v>
      </c>
      <c r="S304">
        <v>115.92</v>
      </c>
      <c r="T304">
        <v>4535.62</v>
      </c>
      <c r="U304">
        <v>43863</v>
      </c>
      <c r="V304" t="s">
        <v>25</v>
      </c>
      <c r="W304" t="s">
        <v>30</v>
      </c>
    </row>
    <row r="305" spans="1:23" x14ac:dyDescent="0.35">
      <c r="A305">
        <v>4948</v>
      </c>
      <c r="B305" t="s">
        <v>31</v>
      </c>
      <c r="C305">
        <v>1</v>
      </c>
      <c r="D305" t="s">
        <v>26</v>
      </c>
      <c r="E305" t="s">
        <v>26</v>
      </c>
      <c r="F305">
        <v>7</v>
      </c>
      <c r="G305" t="s">
        <v>26</v>
      </c>
      <c r="H305" t="s">
        <v>25</v>
      </c>
      <c r="I305" t="s">
        <v>35</v>
      </c>
      <c r="J305" t="s">
        <v>25</v>
      </c>
      <c r="K305" t="s">
        <v>26</v>
      </c>
      <c r="L305" t="s">
        <v>26</v>
      </c>
      <c r="M305" t="s">
        <v>25</v>
      </c>
      <c r="N305" t="s">
        <v>26</v>
      </c>
      <c r="O305" t="s">
        <v>25</v>
      </c>
      <c r="P305" t="s">
        <v>32</v>
      </c>
      <c r="Q305" t="s">
        <v>25</v>
      </c>
      <c r="R305" t="s">
        <v>33</v>
      </c>
      <c r="T305">
        <v>1940.31</v>
      </c>
      <c r="U305">
        <v>43981</v>
      </c>
      <c r="V305" t="s">
        <v>25</v>
      </c>
      <c r="W305" t="s">
        <v>30</v>
      </c>
    </row>
    <row r="306" spans="1:23" x14ac:dyDescent="0.35">
      <c r="A306">
        <v>7770</v>
      </c>
      <c r="B306" t="s">
        <v>34</v>
      </c>
      <c r="C306">
        <v>0</v>
      </c>
      <c r="D306" t="s">
        <v>25</v>
      </c>
      <c r="E306" t="s">
        <v>25</v>
      </c>
      <c r="F306">
        <v>0</v>
      </c>
      <c r="G306" t="s">
        <v>26</v>
      </c>
      <c r="H306" t="s">
        <v>47</v>
      </c>
      <c r="I306" t="s">
        <v>40</v>
      </c>
      <c r="J306" t="s">
        <v>26</v>
      </c>
      <c r="K306" t="s">
        <v>26</v>
      </c>
      <c r="L306" t="s">
        <v>25</v>
      </c>
      <c r="M306" t="s">
        <v>26</v>
      </c>
      <c r="N306" t="s">
        <v>38</v>
      </c>
      <c r="O306" t="s">
        <v>38</v>
      </c>
      <c r="P306" t="s">
        <v>32</v>
      </c>
      <c r="Q306" t="s">
        <v>26</v>
      </c>
      <c r="R306" t="s">
        <v>39</v>
      </c>
      <c r="T306">
        <v>708</v>
      </c>
      <c r="U306">
        <v>44727</v>
      </c>
      <c r="V306" t="s">
        <v>25</v>
      </c>
      <c r="W306" t="s">
        <v>30</v>
      </c>
    </row>
    <row r="307" spans="1:23" x14ac:dyDescent="0.35">
      <c r="A307">
        <v>3091</v>
      </c>
      <c r="B307" t="s">
        <v>31</v>
      </c>
      <c r="C307">
        <v>0</v>
      </c>
      <c r="D307" t="s">
        <v>25</v>
      </c>
      <c r="E307" t="s">
        <v>36</v>
      </c>
      <c r="F307">
        <v>8</v>
      </c>
      <c r="G307" t="s">
        <v>26</v>
      </c>
      <c r="H307" t="s">
        <v>26</v>
      </c>
      <c r="I307" t="s">
        <v>25</v>
      </c>
      <c r="J307" t="s">
        <v>25</v>
      </c>
      <c r="K307" t="s">
        <v>37</v>
      </c>
      <c r="L307" t="s">
        <v>25</v>
      </c>
      <c r="M307" t="s">
        <v>37</v>
      </c>
      <c r="N307" t="s">
        <v>26</v>
      </c>
      <c r="O307" t="s">
        <v>25</v>
      </c>
      <c r="P307" t="s">
        <v>32</v>
      </c>
      <c r="Q307" t="s">
        <v>25</v>
      </c>
      <c r="R307" t="s">
        <v>49</v>
      </c>
      <c r="S307">
        <v>35.72</v>
      </c>
      <c r="T307">
        <v>2124.65</v>
      </c>
      <c r="U307">
        <v>45058</v>
      </c>
      <c r="V307" t="s">
        <v>25</v>
      </c>
      <c r="W307" t="s">
        <v>30</v>
      </c>
    </row>
    <row r="308" spans="1:23" x14ac:dyDescent="0.35">
      <c r="A308">
        <v>15402</v>
      </c>
      <c r="B308" t="s">
        <v>31</v>
      </c>
      <c r="C308">
        <v>0</v>
      </c>
      <c r="D308" t="s">
        <v>38</v>
      </c>
      <c r="E308" t="s">
        <v>25</v>
      </c>
      <c r="F308">
        <v>30</v>
      </c>
      <c r="G308" t="s">
        <v>26</v>
      </c>
      <c r="H308" t="s">
        <v>25</v>
      </c>
      <c r="I308" t="s">
        <v>35</v>
      </c>
      <c r="J308" t="s">
        <v>36</v>
      </c>
      <c r="K308" t="s">
        <v>26</v>
      </c>
      <c r="L308" t="s">
        <v>36</v>
      </c>
      <c r="M308" t="s">
        <v>25</v>
      </c>
      <c r="N308" t="s">
        <v>25</v>
      </c>
      <c r="O308" t="s">
        <v>37</v>
      </c>
      <c r="P308" t="s">
        <v>48</v>
      </c>
      <c r="Q308" t="s">
        <v>36</v>
      </c>
      <c r="R308" t="s">
        <v>33</v>
      </c>
      <c r="S308">
        <v>54.88</v>
      </c>
      <c r="T308">
        <v>3357.71</v>
      </c>
      <c r="U308">
        <v>45227</v>
      </c>
      <c r="V308" t="s">
        <v>25</v>
      </c>
      <c r="W308" t="s">
        <v>30</v>
      </c>
    </row>
    <row r="309" spans="1:23" x14ac:dyDescent="0.35">
      <c r="A309">
        <v>19791</v>
      </c>
      <c r="B309" t="s">
        <v>31</v>
      </c>
      <c r="C309">
        <v>0</v>
      </c>
      <c r="D309" t="s">
        <v>26</v>
      </c>
      <c r="E309" t="s">
        <v>26</v>
      </c>
      <c r="F309">
        <v>48</v>
      </c>
      <c r="G309" t="s">
        <v>25</v>
      </c>
      <c r="H309" t="s">
        <v>25</v>
      </c>
      <c r="I309" t="s">
        <v>27</v>
      </c>
      <c r="J309" t="s">
        <v>25</v>
      </c>
      <c r="K309" t="s">
        <v>25</v>
      </c>
      <c r="L309" t="s">
        <v>26</v>
      </c>
      <c r="M309" t="s">
        <v>25</v>
      </c>
      <c r="N309" t="s">
        <v>26</v>
      </c>
      <c r="O309" t="s">
        <v>25</v>
      </c>
      <c r="P309" t="s">
        <v>41</v>
      </c>
      <c r="Q309" t="s">
        <v>26</v>
      </c>
      <c r="R309" t="s">
        <v>33</v>
      </c>
      <c r="S309">
        <v>51.42</v>
      </c>
      <c r="T309">
        <v>6090.3</v>
      </c>
      <c r="U309">
        <v>45087</v>
      </c>
      <c r="V309" t="s">
        <v>25</v>
      </c>
      <c r="W309" t="s">
        <v>50</v>
      </c>
    </row>
    <row r="310" spans="1:23" x14ac:dyDescent="0.35">
      <c r="A310">
        <v>14684</v>
      </c>
      <c r="B310" t="s">
        <v>31</v>
      </c>
      <c r="C310">
        <v>1</v>
      </c>
      <c r="D310" t="s">
        <v>25</v>
      </c>
      <c r="E310" t="s">
        <v>25</v>
      </c>
      <c r="F310">
        <v>66</v>
      </c>
      <c r="G310" t="s">
        <v>26</v>
      </c>
      <c r="H310" t="s">
        <v>25</v>
      </c>
      <c r="I310" t="s">
        <v>35</v>
      </c>
      <c r="J310" t="s">
        <v>25</v>
      </c>
      <c r="K310" t="s">
        <v>26</v>
      </c>
      <c r="L310" t="s">
        <v>26</v>
      </c>
      <c r="M310" t="s">
        <v>25</v>
      </c>
      <c r="N310" t="s">
        <v>26</v>
      </c>
      <c r="O310" t="s">
        <v>26</v>
      </c>
      <c r="P310" t="s">
        <v>32</v>
      </c>
      <c r="Q310" t="s">
        <v>26</v>
      </c>
      <c r="R310" t="s">
        <v>49</v>
      </c>
      <c r="S310">
        <v>66.11</v>
      </c>
      <c r="T310">
        <v>2224.16</v>
      </c>
      <c r="U310">
        <v>44252</v>
      </c>
      <c r="V310" t="s">
        <v>25</v>
      </c>
      <c r="W310" t="s">
        <v>30</v>
      </c>
    </row>
    <row r="311" spans="1:23" x14ac:dyDescent="0.35">
      <c r="A311">
        <v>9569</v>
      </c>
      <c r="B311" t="s">
        <v>31</v>
      </c>
      <c r="C311">
        <v>0</v>
      </c>
      <c r="D311" t="s">
        <v>26</v>
      </c>
      <c r="E311" t="s">
        <v>26</v>
      </c>
      <c r="F311">
        <v>56</v>
      </c>
      <c r="G311" t="s">
        <v>26</v>
      </c>
      <c r="H311" t="s">
        <v>47</v>
      </c>
      <c r="I311" t="s">
        <v>27</v>
      </c>
      <c r="J311" t="s">
        <v>25</v>
      </c>
      <c r="K311" t="s">
        <v>25</v>
      </c>
      <c r="L311" t="s">
        <v>25</v>
      </c>
      <c r="M311" t="s">
        <v>25</v>
      </c>
      <c r="N311" t="s">
        <v>26</v>
      </c>
      <c r="O311" t="s">
        <v>26</v>
      </c>
      <c r="P311" t="s">
        <v>32</v>
      </c>
      <c r="Q311" t="s">
        <v>26</v>
      </c>
      <c r="R311" t="s">
        <v>49</v>
      </c>
      <c r="T311">
        <v>1315.38</v>
      </c>
      <c r="U311">
        <v>44010</v>
      </c>
      <c r="V311" t="s">
        <v>25</v>
      </c>
      <c r="W311" t="s">
        <v>30</v>
      </c>
    </row>
    <row r="312" spans="1:23" x14ac:dyDescent="0.35">
      <c r="A312">
        <v>8364</v>
      </c>
      <c r="B312" t="s">
        <v>51</v>
      </c>
      <c r="C312">
        <v>0</v>
      </c>
      <c r="D312" t="s">
        <v>25</v>
      </c>
      <c r="E312" t="s">
        <v>26</v>
      </c>
      <c r="F312">
        <v>43</v>
      </c>
      <c r="G312" t="s">
        <v>26</v>
      </c>
      <c r="H312" t="s">
        <v>25</v>
      </c>
      <c r="I312" t="s">
        <v>52</v>
      </c>
      <c r="J312" t="s">
        <v>25</v>
      </c>
      <c r="K312" t="s">
        <v>26</v>
      </c>
      <c r="L312" t="s">
        <v>26</v>
      </c>
      <c r="M312" t="s">
        <v>37</v>
      </c>
      <c r="N312" t="s">
        <v>25</v>
      </c>
      <c r="O312" t="s">
        <v>26</v>
      </c>
      <c r="P312" t="s">
        <v>28</v>
      </c>
      <c r="Q312" t="s">
        <v>26</v>
      </c>
      <c r="R312" t="s">
        <v>39</v>
      </c>
      <c r="S312">
        <v>110.06</v>
      </c>
      <c r="T312">
        <v>6001.46</v>
      </c>
      <c r="U312">
        <v>44640</v>
      </c>
      <c r="V312" t="s">
        <v>25</v>
      </c>
      <c r="W312" t="s">
        <v>30</v>
      </c>
    </row>
    <row r="313" spans="1:23" x14ac:dyDescent="0.35">
      <c r="A313">
        <v>8098</v>
      </c>
      <c r="B313" t="s">
        <v>34</v>
      </c>
      <c r="C313">
        <v>0</v>
      </c>
      <c r="D313" t="s">
        <v>25</v>
      </c>
      <c r="E313" t="s">
        <v>25</v>
      </c>
      <c r="F313">
        <v>26</v>
      </c>
      <c r="G313" t="s">
        <v>26</v>
      </c>
      <c r="H313" t="s">
        <v>38</v>
      </c>
      <c r="I313" t="s">
        <v>35</v>
      </c>
      <c r="J313" t="s">
        <v>26</v>
      </c>
      <c r="K313" t="s">
        <v>25</v>
      </c>
      <c r="L313" t="s">
        <v>25</v>
      </c>
      <c r="M313" t="s">
        <v>37</v>
      </c>
      <c r="N313" t="s">
        <v>25</v>
      </c>
      <c r="O313" t="s">
        <v>25</v>
      </c>
      <c r="P313" t="s">
        <v>32</v>
      </c>
      <c r="Q313" t="s">
        <v>25</v>
      </c>
      <c r="R313" t="s">
        <v>33</v>
      </c>
      <c r="S313">
        <v>44.69</v>
      </c>
      <c r="T313">
        <v>2730.02</v>
      </c>
      <c r="U313">
        <v>43945</v>
      </c>
      <c r="V313" t="s">
        <v>25</v>
      </c>
      <c r="W313" t="s">
        <v>30</v>
      </c>
    </row>
    <row r="314" spans="1:23" x14ac:dyDescent="0.35">
      <c r="A314">
        <v>3879</v>
      </c>
      <c r="B314" t="s">
        <v>31</v>
      </c>
      <c r="C314">
        <v>1</v>
      </c>
      <c r="D314" t="s">
        <v>25</v>
      </c>
      <c r="E314" t="s">
        <v>26</v>
      </c>
      <c r="F314">
        <v>32</v>
      </c>
      <c r="G314" t="s">
        <v>26</v>
      </c>
      <c r="H314" t="s">
        <v>26</v>
      </c>
      <c r="I314" t="s">
        <v>27</v>
      </c>
      <c r="J314" t="s">
        <v>37</v>
      </c>
      <c r="K314" t="s">
        <v>37</v>
      </c>
      <c r="L314" t="s">
        <v>25</v>
      </c>
      <c r="M314" t="s">
        <v>36</v>
      </c>
      <c r="N314" t="s">
        <v>25</v>
      </c>
      <c r="O314" t="s">
        <v>25</v>
      </c>
      <c r="P314" t="s">
        <v>32</v>
      </c>
      <c r="Q314" t="s">
        <v>25</v>
      </c>
      <c r="R314" t="s">
        <v>33</v>
      </c>
      <c r="S314">
        <v>59.98</v>
      </c>
      <c r="T314">
        <v>1219.3399999999999</v>
      </c>
      <c r="U314">
        <v>45600</v>
      </c>
      <c r="V314" t="s">
        <v>25</v>
      </c>
      <c r="W314" t="s">
        <v>30</v>
      </c>
    </row>
    <row r="315" spans="1:23" x14ac:dyDescent="0.35">
      <c r="A315">
        <v>8529</v>
      </c>
      <c r="B315" t="s">
        <v>31</v>
      </c>
      <c r="C315">
        <v>0</v>
      </c>
      <c r="D315" t="s">
        <v>25</v>
      </c>
      <c r="E315" t="s">
        <v>38</v>
      </c>
      <c r="F315">
        <v>35</v>
      </c>
      <c r="G315" t="s">
        <v>26</v>
      </c>
      <c r="H315" t="s">
        <v>26</v>
      </c>
      <c r="I315" t="s">
        <v>40</v>
      </c>
      <c r="J315" t="s">
        <v>26</v>
      </c>
      <c r="K315" t="s">
        <v>26</v>
      </c>
      <c r="L315" t="s">
        <v>25</v>
      </c>
      <c r="M315" t="s">
        <v>37</v>
      </c>
      <c r="N315" t="s">
        <v>37</v>
      </c>
      <c r="O315" t="s">
        <v>37</v>
      </c>
      <c r="P315" t="s">
        <v>42</v>
      </c>
      <c r="Q315" t="s">
        <v>26</v>
      </c>
      <c r="R315" t="s">
        <v>39</v>
      </c>
      <c r="S315">
        <v>112.2</v>
      </c>
      <c r="T315">
        <v>758.79</v>
      </c>
      <c r="U315">
        <v>45593</v>
      </c>
      <c r="V315" t="s">
        <v>25</v>
      </c>
      <c r="W315" t="s">
        <v>30</v>
      </c>
    </row>
    <row r="316" spans="1:23" x14ac:dyDescent="0.35">
      <c r="A316">
        <v>2078</v>
      </c>
      <c r="B316" t="s">
        <v>31</v>
      </c>
      <c r="C316">
        <v>0</v>
      </c>
      <c r="D316" t="s">
        <v>26</v>
      </c>
      <c r="E316" t="s">
        <v>25</v>
      </c>
      <c r="F316">
        <v>7</v>
      </c>
      <c r="G316" t="s">
        <v>26</v>
      </c>
      <c r="H316" t="s">
        <v>25</v>
      </c>
      <c r="I316" t="s">
        <v>35</v>
      </c>
      <c r="J316" t="s">
        <v>37</v>
      </c>
      <c r="K316" t="s">
        <v>25</v>
      </c>
      <c r="L316" t="s">
        <v>36</v>
      </c>
      <c r="M316" t="s">
        <v>25</v>
      </c>
      <c r="N316" t="s">
        <v>26</v>
      </c>
      <c r="O316" t="s">
        <v>26</v>
      </c>
      <c r="P316" t="s">
        <v>32</v>
      </c>
      <c r="Q316" t="s">
        <v>38</v>
      </c>
      <c r="R316" t="s">
        <v>39</v>
      </c>
      <c r="S316">
        <v>71.97</v>
      </c>
      <c r="T316">
        <v>7461.59</v>
      </c>
      <c r="U316">
        <v>44831</v>
      </c>
      <c r="V316" t="s">
        <v>25</v>
      </c>
      <c r="W316" t="s">
        <v>30</v>
      </c>
    </row>
    <row r="317" spans="1:23" x14ac:dyDescent="0.35">
      <c r="A317">
        <v>14127</v>
      </c>
      <c r="B317" t="s">
        <v>34</v>
      </c>
      <c r="C317">
        <v>1</v>
      </c>
      <c r="D317" t="s">
        <v>38</v>
      </c>
      <c r="E317" t="s">
        <v>25</v>
      </c>
      <c r="F317">
        <v>62</v>
      </c>
      <c r="G317" t="s">
        <v>26</v>
      </c>
      <c r="H317" t="s">
        <v>25</v>
      </c>
      <c r="I317" t="s">
        <v>27</v>
      </c>
      <c r="J317" t="s">
        <v>38</v>
      </c>
      <c r="K317" t="s">
        <v>26</v>
      </c>
      <c r="L317" t="s">
        <v>26</v>
      </c>
      <c r="M317" t="s">
        <v>37</v>
      </c>
      <c r="N317" t="s">
        <v>37</v>
      </c>
      <c r="O317" t="s">
        <v>26</v>
      </c>
      <c r="P317" t="s">
        <v>32</v>
      </c>
      <c r="Q317" t="s">
        <v>25</v>
      </c>
      <c r="R317" t="s">
        <v>49</v>
      </c>
      <c r="S317">
        <v>61.46</v>
      </c>
      <c r="T317">
        <v>6325.7</v>
      </c>
      <c r="U317">
        <v>44319</v>
      </c>
      <c r="V317" t="s">
        <v>25</v>
      </c>
      <c r="W317" t="s">
        <v>30</v>
      </c>
    </row>
    <row r="318" spans="1:23" x14ac:dyDescent="0.35">
      <c r="A318">
        <v>13571</v>
      </c>
      <c r="B318" t="s">
        <v>1</v>
      </c>
      <c r="C318">
        <v>0</v>
      </c>
      <c r="D318" t="s">
        <v>26</v>
      </c>
      <c r="E318" t="s">
        <v>25</v>
      </c>
      <c r="F318">
        <v>44</v>
      </c>
      <c r="G318" t="s">
        <v>25</v>
      </c>
      <c r="H318" t="s">
        <v>26</v>
      </c>
      <c r="I318" t="s">
        <v>35</v>
      </c>
      <c r="J318" t="s">
        <v>26</v>
      </c>
      <c r="K318" t="s">
        <v>25</v>
      </c>
      <c r="L318" t="s">
        <v>26</v>
      </c>
      <c r="M318" t="s">
        <v>37</v>
      </c>
      <c r="N318" t="s">
        <v>37</v>
      </c>
      <c r="O318" t="s">
        <v>38</v>
      </c>
      <c r="P318" t="s">
        <v>32</v>
      </c>
      <c r="Q318" t="s">
        <v>26</v>
      </c>
      <c r="R318" t="s">
        <v>44</v>
      </c>
      <c r="S318">
        <v>89.07</v>
      </c>
      <c r="T318">
        <v>3042.13</v>
      </c>
      <c r="U318">
        <v>44097</v>
      </c>
      <c r="V318" t="s">
        <v>25</v>
      </c>
      <c r="W318" t="s">
        <v>30</v>
      </c>
    </row>
    <row r="319" spans="1:23" x14ac:dyDescent="0.35">
      <c r="A319">
        <v>4101</v>
      </c>
      <c r="B319" t="s">
        <v>34</v>
      </c>
      <c r="C319">
        <v>0</v>
      </c>
      <c r="D319" t="s">
        <v>25</v>
      </c>
      <c r="E319" t="s">
        <v>25</v>
      </c>
      <c r="F319">
        <v>65</v>
      </c>
      <c r="G319" t="s">
        <v>26</v>
      </c>
      <c r="H319" t="s">
        <v>38</v>
      </c>
      <c r="I319" t="s">
        <v>27</v>
      </c>
      <c r="J319" t="s">
        <v>25</v>
      </c>
      <c r="K319" t="s">
        <v>26</v>
      </c>
      <c r="L319" t="s">
        <v>26</v>
      </c>
      <c r="M319" t="s">
        <v>37</v>
      </c>
      <c r="N319" t="s">
        <v>37</v>
      </c>
      <c r="O319" t="s">
        <v>37</v>
      </c>
      <c r="P319" t="s">
        <v>32</v>
      </c>
      <c r="Q319" t="s">
        <v>36</v>
      </c>
      <c r="R319" t="s">
        <v>29</v>
      </c>
      <c r="S319">
        <v>59.6</v>
      </c>
      <c r="T319">
        <v>666.27</v>
      </c>
      <c r="U319">
        <v>44904</v>
      </c>
      <c r="V319" t="s">
        <v>25</v>
      </c>
      <c r="W319" t="s">
        <v>30</v>
      </c>
    </row>
    <row r="320" spans="1:23" x14ac:dyDescent="0.35">
      <c r="A320">
        <v>11335</v>
      </c>
      <c r="B320" t="s">
        <v>34</v>
      </c>
      <c r="C320">
        <v>0</v>
      </c>
      <c r="D320" t="s">
        <v>26</v>
      </c>
      <c r="E320" t="s">
        <v>26</v>
      </c>
      <c r="F320">
        <v>21</v>
      </c>
      <c r="G320" t="s">
        <v>26</v>
      </c>
      <c r="H320" t="s">
        <v>26</v>
      </c>
      <c r="I320" t="s">
        <v>25</v>
      </c>
      <c r="J320" t="s">
        <v>25</v>
      </c>
      <c r="K320" t="s">
        <v>25</v>
      </c>
      <c r="L320" t="s">
        <v>25</v>
      </c>
      <c r="M320" t="s">
        <v>38</v>
      </c>
      <c r="N320" t="s">
        <v>26</v>
      </c>
      <c r="O320" t="s">
        <v>37</v>
      </c>
      <c r="P320" t="s">
        <v>32</v>
      </c>
      <c r="Q320" t="s">
        <v>25</v>
      </c>
      <c r="R320" t="s">
        <v>44</v>
      </c>
      <c r="S320">
        <v>42.93</v>
      </c>
      <c r="T320">
        <v>909.8</v>
      </c>
      <c r="U320">
        <v>45260</v>
      </c>
      <c r="V320" t="s">
        <v>25</v>
      </c>
      <c r="W320" t="s">
        <v>30</v>
      </c>
    </row>
    <row r="321" spans="1:23" x14ac:dyDescent="0.35">
      <c r="A321">
        <v>12632</v>
      </c>
      <c r="B321" t="s">
        <v>0</v>
      </c>
      <c r="C321" t="s">
        <v>25</v>
      </c>
      <c r="D321" t="s">
        <v>26</v>
      </c>
      <c r="E321" t="s">
        <v>26</v>
      </c>
      <c r="F321">
        <v>45</v>
      </c>
      <c r="G321" t="s">
        <v>26</v>
      </c>
      <c r="H321" t="s">
        <v>26</v>
      </c>
      <c r="I321" t="s">
        <v>27</v>
      </c>
      <c r="J321" t="s">
        <v>25</v>
      </c>
      <c r="K321" t="s">
        <v>38</v>
      </c>
      <c r="L321" t="s">
        <v>37</v>
      </c>
      <c r="M321" t="s">
        <v>25</v>
      </c>
      <c r="N321" t="s">
        <v>25</v>
      </c>
      <c r="O321" t="s">
        <v>26</v>
      </c>
      <c r="P321" t="s">
        <v>32</v>
      </c>
      <c r="Q321" t="s">
        <v>26</v>
      </c>
      <c r="R321" t="s">
        <v>44</v>
      </c>
      <c r="S321">
        <v>115.49</v>
      </c>
      <c r="U321">
        <v>44999</v>
      </c>
      <c r="V321" t="s">
        <v>25</v>
      </c>
      <c r="W321" t="s">
        <v>30</v>
      </c>
    </row>
    <row r="322" spans="1:23" x14ac:dyDescent="0.35">
      <c r="A322">
        <v>1323</v>
      </c>
      <c r="B322" t="s">
        <v>31</v>
      </c>
      <c r="C322">
        <v>0</v>
      </c>
      <c r="D322" t="s">
        <v>38</v>
      </c>
      <c r="E322" t="s">
        <v>25</v>
      </c>
      <c r="G322" t="s">
        <v>26</v>
      </c>
      <c r="H322" t="s">
        <v>25</v>
      </c>
      <c r="I322" t="s">
        <v>35</v>
      </c>
      <c r="J322" t="s">
        <v>26</v>
      </c>
      <c r="K322" t="s">
        <v>26</v>
      </c>
      <c r="L322" t="s">
        <v>37</v>
      </c>
      <c r="M322" t="s">
        <v>37</v>
      </c>
      <c r="N322" t="s">
        <v>38</v>
      </c>
      <c r="O322" t="s">
        <v>25</v>
      </c>
      <c r="P322" t="s">
        <v>42</v>
      </c>
      <c r="Q322" t="s">
        <v>25</v>
      </c>
      <c r="R322" t="s">
        <v>49</v>
      </c>
      <c r="S322">
        <v>111.65</v>
      </c>
      <c r="T322">
        <v>2909.66</v>
      </c>
      <c r="U322">
        <v>44698</v>
      </c>
      <c r="V322" t="s">
        <v>26</v>
      </c>
      <c r="W322" t="s">
        <v>50</v>
      </c>
    </row>
    <row r="323" spans="1:23" x14ac:dyDescent="0.35">
      <c r="A323">
        <v>9846</v>
      </c>
      <c r="B323" t="s">
        <v>31</v>
      </c>
      <c r="C323">
        <v>0</v>
      </c>
      <c r="D323" t="s">
        <v>26</v>
      </c>
      <c r="E323" t="s">
        <v>25</v>
      </c>
      <c r="F323">
        <v>42</v>
      </c>
      <c r="G323" t="s">
        <v>26</v>
      </c>
      <c r="H323" t="s">
        <v>25</v>
      </c>
      <c r="I323" t="s">
        <v>27</v>
      </c>
      <c r="J323" t="s">
        <v>37</v>
      </c>
      <c r="K323" t="s">
        <v>38</v>
      </c>
      <c r="L323" t="s">
        <v>26</v>
      </c>
      <c r="M323" t="s">
        <v>25</v>
      </c>
      <c r="N323" t="s">
        <v>38</v>
      </c>
      <c r="O323" t="s">
        <v>26</v>
      </c>
      <c r="P323" t="s">
        <v>28</v>
      </c>
      <c r="Q323" t="s">
        <v>25</v>
      </c>
      <c r="R323" t="s">
        <v>43</v>
      </c>
      <c r="T323">
        <v>2922.74</v>
      </c>
      <c r="U323">
        <v>45106</v>
      </c>
      <c r="V323" t="s">
        <v>25</v>
      </c>
      <c r="W323" t="s">
        <v>30</v>
      </c>
    </row>
    <row r="324" spans="1:23" x14ac:dyDescent="0.35">
      <c r="A324">
        <v>2093</v>
      </c>
      <c r="B324" t="s">
        <v>31</v>
      </c>
      <c r="C324">
        <v>0</v>
      </c>
      <c r="D324" t="s">
        <v>26</v>
      </c>
      <c r="E324" t="s">
        <v>25</v>
      </c>
      <c r="F324">
        <v>44</v>
      </c>
      <c r="G324" t="s">
        <v>26</v>
      </c>
      <c r="H324" t="s">
        <v>25</v>
      </c>
      <c r="I324" t="s">
        <v>25</v>
      </c>
      <c r="J324" t="s">
        <v>37</v>
      </c>
      <c r="K324" t="s">
        <v>25</v>
      </c>
      <c r="L324" t="s">
        <v>25</v>
      </c>
      <c r="M324" t="s">
        <v>26</v>
      </c>
      <c r="N324" t="s">
        <v>25</v>
      </c>
      <c r="O324" t="s">
        <v>37</v>
      </c>
      <c r="P324" t="s">
        <v>28</v>
      </c>
      <c r="Q324" t="s">
        <v>26</v>
      </c>
      <c r="R324" t="s">
        <v>43</v>
      </c>
      <c r="S324">
        <v>59.45</v>
      </c>
      <c r="T324">
        <v>2429.06</v>
      </c>
      <c r="U324">
        <v>44659</v>
      </c>
      <c r="V324" t="s">
        <v>25</v>
      </c>
      <c r="W324" t="s">
        <v>30</v>
      </c>
    </row>
    <row r="325" spans="1:23" x14ac:dyDescent="0.35">
      <c r="A325" t="s">
        <v>2</v>
      </c>
      <c r="B325" t="s">
        <v>3</v>
      </c>
      <c r="C325" t="s">
        <v>4</v>
      </c>
      <c r="D325" t="s">
        <v>5</v>
      </c>
      <c r="E325" t="s">
        <v>6</v>
      </c>
      <c r="F325" t="s">
        <v>7</v>
      </c>
      <c r="G325" t="s">
        <v>8</v>
      </c>
      <c r="H325" t="s">
        <v>9</v>
      </c>
      <c r="I325" t="s">
        <v>10</v>
      </c>
      <c r="J325" t="s">
        <v>11</v>
      </c>
      <c r="K325" t="s">
        <v>12</v>
      </c>
      <c r="L325" t="s">
        <v>13</v>
      </c>
      <c r="M325" t="s">
        <v>14</v>
      </c>
      <c r="N325" t="s">
        <v>15</v>
      </c>
      <c r="O325" t="s">
        <v>16</v>
      </c>
      <c r="P325" t="s">
        <v>17</v>
      </c>
      <c r="Q325" t="s">
        <v>18</v>
      </c>
      <c r="R325" t="s">
        <v>19</v>
      </c>
      <c r="S325" t="s">
        <v>20</v>
      </c>
      <c r="T325" t="s">
        <v>21</v>
      </c>
      <c r="U325" t="s">
        <v>22</v>
      </c>
      <c r="V325" t="s">
        <v>23</v>
      </c>
      <c r="W325" t="s">
        <v>24</v>
      </c>
    </row>
    <row r="326" spans="1:23" x14ac:dyDescent="0.35">
      <c r="A326">
        <v>10246.6668461435</v>
      </c>
      <c r="B326" t="s">
        <v>1</v>
      </c>
      <c r="C326">
        <v>0.73333333333333395</v>
      </c>
      <c r="D326" t="s">
        <v>25</v>
      </c>
      <c r="E326" t="s">
        <v>26</v>
      </c>
      <c r="F326">
        <v>33.717527049770702</v>
      </c>
      <c r="G326" t="s">
        <v>26</v>
      </c>
      <c r="H326" t="s">
        <v>26</v>
      </c>
      <c r="I326" t="s">
        <v>27</v>
      </c>
      <c r="J326" t="s">
        <v>26</v>
      </c>
      <c r="K326" t="s">
        <v>26</v>
      </c>
      <c r="L326" t="s">
        <v>26</v>
      </c>
      <c r="M326" t="s">
        <v>25</v>
      </c>
      <c r="N326" t="s">
        <v>25</v>
      </c>
      <c r="O326" t="s">
        <v>25</v>
      </c>
      <c r="P326" t="s">
        <v>28</v>
      </c>
      <c r="Q326" t="s">
        <v>26</v>
      </c>
      <c r="R326" t="s">
        <v>29</v>
      </c>
      <c r="S326">
        <v>69.731294014821103</v>
      </c>
      <c r="T326">
        <v>3451.2616641872</v>
      </c>
      <c r="U326">
        <v>44673.5391419726</v>
      </c>
      <c r="V326" t="s">
        <v>25</v>
      </c>
      <c r="W326" t="s">
        <v>30</v>
      </c>
    </row>
    <row r="327" spans="1:23" x14ac:dyDescent="0.35">
      <c r="A327">
        <v>10240.317524416299</v>
      </c>
      <c r="B327" t="s">
        <v>31</v>
      </c>
      <c r="C327">
        <v>0.84761904761904805</v>
      </c>
      <c r="D327" t="s">
        <v>26</v>
      </c>
      <c r="E327" t="s">
        <v>25</v>
      </c>
      <c r="F327">
        <v>33.709806615354204</v>
      </c>
      <c r="G327" t="s">
        <v>26</v>
      </c>
      <c r="H327" t="s">
        <v>26</v>
      </c>
      <c r="I327" t="s">
        <v>27</v>
      </c>
      <c r="J327" t="s">
        <v>26</v>
      </c>
      <c r="K327" t="s">
        <v>26</v>
      </c>
      <c r="L327" t="s">
        <v>26</v>
      </c>
      <c r="M327" t="s">
        <v>26</v>
      </c>
      <c r="N327" t="s">
        <v>25</v>
      </c>
      <c r="O327" t="s">
        <v>25</v>
      </c>
      <c r="P327" t="s">
        <v>32</v>
      </c>
      <c r="Q327" t="s">
        <v>26</v>
      </c>
      <c r="R327" t="s">
        <v>33</v>
      </c>
      <c r="S327">
        <v>69.709885740039297</v>
      </c>
      <c r="T327">
        <v>3448.7893275574302</v>
      </c>
      <c r="U327">
        <v>44673.338919193397</v>
      </c>
      <c r="V327" t="s">
        <v>25</v>
      </c>
      <c r="W327" t="s">
        <v>30</v>
      </c>
    </row>
    <row r="328" spans="1:23" x14ac:dyDescent="0.35">
      <c r="A328">
        <v>10233.968202689201</v>
      </c>
      <c r="B328" t="s">
        <v>34</v>
      </c>
      <c r="C328">
        <v>0.96190476190476204</v>
      </c>
      <c r="D328" t="s">
        <v>26</v>
      </c>
      <c r="E328" t="s">
        <v>26</v>
      </c>
      <c r="F328">
        <v>33.702086180937798</v>
      </c>
      <c r="G328" t="s">
        <v>26</v>
      </c>
      <c r="H328" t="s">
        <v>26</v>
      </c>
      <c r="I328" t="s">
        <v>35</v>
      </c>
      <c r="J328" t="s">
        <v>25</v>
      </c>
      <c r="K328" t="s">
        <v>36</v>
      </c>
      <c r="L328" t="s">
        <v>37</v>
      </c>
      <c r="M328" t="s">
        <v>25</v>
      </c>
      <c r="N328" t="s">
        <v>25</v>
      </c>
      <c r="O328" t="s">
        <v>26</v>
      </c>
      <c r="P328" t="s">
        <v>32</v>
      </c>
      <c r="Q328" t="s">
        <v>36</v>
      </c>
      <c r="R328" t="s">
        <v>29</v>
      </c>
      <c r="S328">
        <v>69.688477465257606</v>
      </c>
      <c r="T328">
        <v>3446.3169909276498</v>
      </c>
      <c r="U328">
        <v>44673.1386964142</v>
      </c>
      <c r="V328" t="s">
        <v>25</v>
      </c>
      <c r="W328" t="s">
        <v>30</v>
      </c>
    </row>
    <row r="329" spans="1:23" x14ac:dyDescent="0.35">
      <c r="A329">
        <v>10227.618880962</v>
      </c>
      <c r="B329" t="s">
        <v>31</v>
      </c>
      <c r="C329">
        <v>1.0761904761904799</v>
      </c>
      <c r="D329" t="s">
        <v>25</v>
      </c>
      <c r="E329" t="s">
        <v>25</v>
      </c>
      <c r="F329">
        <v>33.694365746521299</v>
      </c>
      <c r="G329" t="s">
        <v>38</v>
      </c>
      <c r="H329" t="s">
        <v>38</v>
      </c>
      <c r="I329" t="s">
        <v>25</v>
      </c>
      <c r="J329" t="s">
        <v>25</v>
      </c>
      <c r="K329" t="s">
        <v>25</v>
      </c>
      <c r="L329" t="s">
        <v>37</v>
      </c>
      <c r="M329" t="s">
        <v>25</v>
      </c>
      <c r="N329" t="s">
        <v>26</v>
      </c>
      <c r="O329" t="s">
        <v>26</v>
      </c>
      <c r="P329" t="s">
        <v>32</v>
      </c>
      <c r="Q329" t="s">
        <v>25</v>
      </c>
      <c r="R329" t="s">
        <v>39</v>
      </c>
      <c r="S329">
        <v>69.6670691904758</v>
      </c>
      <c r="T329">
        <v>3443.84465429788</v>
      </c>
      <c r="U329">
        <v>44672.938473635098</v>
      </c>
      <c r="V329" t="s">
        <v>25</v>
      </c>
      <c r="W329" t="s">
        <v>30</v>
      </c>
    </row>
    <row r="330" spans="1:23" x14ac:dyDescent="0.35">
      <c r="A330">
        <v>10221.269559234801</v>
      </c>
      <c r="B330" t="s">
        <v>34</v>
      </c>
      <c r="C330">
        <v>1.19047619047619</v>
      </c>
      <c r="D330" t="s">
        <v>25</v>
      </c>
      <c r="E330" t="s">
        <v>26</v>
      </c>
      <c r="F330">
        <v>33.686645312104801</v>
      </c>
      <c r="G330" t="s">
        <v>26</v>
      </c>
      <c r="H330" t="s">
        <v>26</v>
      </c>
      <c r="I330" t="s">
        <v>40</v>
      </c>
      <c r="J330" t="s">
        <v>25</v>
      </c>
      <c r="K330" t="s">
        <v>26</v>
      </c>
      <c r="L330" t="s">
        <v>37</v>
      </c>
      <c r="M330" t="s">
        <v>25</v>
      </c>
      <c r="N330" t="s">
        <v>38</v>
      </c>
      <c r="O330" t="s">
        <v>26</v>
      </c>
      <c r="P330" t="s">
        <v>32</v>
      </c>
      <c r="Q330" t="s">
        <v>25</v>
      </c>
      <c r="R330" t="s">
        <v>39</v>
      </c>
      <c r="S330">
        <v>69.645660915694094</v>
      </c>
      <c r="T330">
        <v>3441.3723176681001</v>
      </c>
      <c r="U330">
        <v>44672.738250855902</v>
      </c>
      <c r="V330" t="s">
        <v>25</v>
      </c>
      <c r="W330" t="s">
        <v>30</v>
      </c>
    </row>
    <row r="331" spans="1:23" x14ac:dyDescent="0.35">
      <c r="A331">
        <v>10214.9202375077</v>
      </c>
      <c r="B331" t="s">
        <v>31</v>
      </c>
      <c r="C331">
        <v>1.3047619047619099</v>
      </c>
      <c r="D331" t="s">
        <v>25</v>
      </c>
      <c r="E331" t="s">
        <v>25</v>
      </c>
      <c r="F331">
        <v>33.678924877688303</v>
      </c>
      <c r="G331" t="s">
        <v>26</v>
      </c>
      <c r="H331" t="s">
        <v>25</v>
      </c>
      <c r="I331" t="s">
        <v>27</v>
      </c>
      <c r="J331" t="s">
        <v>26</v>
      </c>
      <c r="K331" t="s">
        <v>26</v>
      </c>
      <c r="L331" t="s">
        <v>26</v>
      </c>
      <c r="M331" t="s">
        <v>26</v>
      </c>
      <c r="N331" t="s">
        <v>25</v>
      </c>
      <c r="O331" t="s">
        <v>25</v>
      </c>
      <c r="P331" t="s">
        <v>41</v>
      </c>
      <c r="Q331" t="s">
        <v>26</v>
      </c>
      <c r="R331" t="s">
        <v>33</v>
      </c>
      <c r="S331">
        <v>69.624252640912303</v>
      </c>
      <c r="T331">
        <v>3438.8999810383302</v>
      </c>
      <c r="U331">
        <v>44672.538028076699</v>
      </c>
      <c r="V331" t="s">
        <v>25</v>
      </c>
      <c r="W331" t="s">
        <v>30</v>
      </c>
    </row>
    <row r="332" spans="1:23" x14ac:dyDescent="0.35">
      <c r="A332">
        <v>10208.570915780499</v>
      </c>
      <c r="B332" t="s">
        <v>1</v>
      </c>
      <c r="C332" t="s">
        <v>26</v>
      </c>
      <c r="D332" t="s">
        <v>25</v>
      </c>
      <c r="E332" t="s">
        <v>26</v>
      </c>
      <c r="F332">
        <v>33.671204443271797</v>
      </c>
      <c r="G332" t="s">
        <v>25</v>
      </c>
      <c r="H332" t="s">
        <v>26</v>
      </c>
      <c r="I332" t="s">
        <v>27</v>
      </c>
      <c r="J332" t="s">
        <v>37</v>
      </c>
      <c r="K332" t="s">
        <v>25</v>
      </c>
      <c r="L332" t="s">
        <v>37</v>
      </c>
      <c r="M332" t="s">
        <v>26</v>
      </c>
      <c r="N332" t="s">
        <v>36</v>
      </c>
      <c r="O332" t="s">
        <v>25</v>
      </c>
      <c r="P332" t="s">
        <v>42</v>
      </c>
      <c r="Q332" t="s">
        <v>26</v>
      </c>
      <c r="R332" t="s">
        <v>43</v>
      </c>
      <c r="S332">
        <v>69.602844366130498</v>
      </c>
      <c r="T332">
        <v>3436.4276444085499</v>
      </c>
      <c r="U332">
        <v>44672.337805297597</v>
      </c>
      <c r="V332" t="s">
        <v>25</v>
      </c>
      <c r="W332" t="s">
        <v>30</v>
      </c>
    </row>
    <row r="333" spans="1:23" x14ac:dyDescent="0.35">
      <c r="A333">
        <v>10202.221594053301</v>
      </c>
      <c r="B333" t="s">
        <v>31</v>
      </c>
      <c r="C333" t="s">
        <v>26</v>
      </c>
      <c r="D333" t="s">
        <v>25</v>
      </c>
      <c r="E333" t="s">
        <v>25</v>
      </c>
      <c r="F333">
        <v>33.663484008855299</v>
      </c>
      <c r="G333" t="s">
        <v>26</v>
      </c>
      <c r="H333" t="s">
        <v>38</v>
      </c>
      <c r="I333" t="s">
        <v>27</v>
      </c>
      <c r="J333" t="s">
        <v>36</v>
      </c>
      <c r="K333" t="s">
        <v>25</v>
      </c>
      <c r="L333" t="s">
        <v>26</v>
      </c>
      <c r="M333" t="s">
        <v>25</v>
      </c>
      <c r="N333" t="s">
        <v>25</v>
      </c>
      <c r="O333" t="s">
        <v>26</v>
      </c>
      <c r="P333" t="s">
        <v>28</v>
      </c>
      <c r="Q333" t="s">
        <v>26</v>
      </c>
      <c r="R333" t="s">
        <v>44</v>
      </c>
      <c r="S333">
        <v>69.581436091348806</v>
      </c>
      <c r="T333">
        <v>3433.95530777878</v>
      </c>
      <c r="U333">
        <v>44672.1375825184</v>
      </c>
      <c r="V333" t="s">
        <v>25</v>
      </c>
      <c r="W333" t="s">
        <v>30</v>
      </c>
    </row>
    <row r="334" spans="1:23" x14ac:dyDescent="0.35">
      <c r="A334">
        <v>10195.8722723262</v>
      </c>
      <c r="B334" t="s">
        <v>1</v>
      </c>
      <c r="C334">
        <v>-0.12105263157894799</v>
      </c>
      <c r="D334" t="s">
        <v>36</v>
      </c>
      <c r="E334" t="s">
        <v>25</v>
      </c>
      <c r="F334">
        <v>33.655763574438801</v>
      </c>
      <c r="G334" t="s">
        <v>26</v>
      </c>
      <c r="H334" t="s">
        <v>25</v>
      </c>
      <c r="I334" t="s">
        <v>27</v>
      </c>
      <c r="J334" t="s">
        <v>37</v>
      </c>
      <c r="K334" t="s">
        <v>26</v>
      </c>
      <c r="L334" t="s">
        <v>37</v>
      </c>
      <c r="M334" t="s">
        <v>25</v>
      </c>
      <c r="N334" t="s">
        <v>37</v>
      </c>
      <c r="O334" t="s">
        <v>26</v>
      </c>
      <c r="P334" t="s">
        <v>45</v>
      </c>
      <c r="Q334" t="s">
        <v>26</v>
      </c>
      <c r="R334" t="s">
        <v>33</v>
      </c>
      <c r="S334">
        <v>69.560027816567001</v>
      </c>
      <c r="T334">
        <v>3431.4829711490002</v>
      </c>
      <c r="U334">
        <v>44671.937359739197</v>
      </c>
      <c r="V334" t="s">
        <v>25</v>
      </c>
      <c r="W334" t="s">
        <v>30</v>
      </c>
    </row>
    <row r="335" spans="1:23" x14ac:dyDescent="0.35">
      <c r="A335">
        <v>10189.522950598999</v>
      </c>
      <c r="B335" t="s">
        <v>34</v>
      </c>
      <c r="C335">
        <v>-0.14210526315789501</v>
      </c>
      <c r="D335" t="s">
        <v>25</v>
      </c>
      <c r="E335" t="s">
        <v>26</v>
      </c>
      <c r="F335">
        <v>33.648043140022303</v>
      </c>
      <c r="G335" t="s">
        <v>26</v>
      </c>
      <c r="H335" t="s">
        <v>36</v>
      </c>
      <c r="I335" t="s">
        <v>27</v>
      </c>
      <c r="J335" t="s">
        <v>26</v>
      </c>
      <c r="K335" t="s">
        <v>37</v>
      </c>
      <c r="L335" t="s">
        <v>37</v>
      </c>
      <c r="M335" t="s">
        <v>26</v>
      </c>
      <c r="N335" t="s">
        <v>26</v>
      </c>
      <c r="O335" t="s">
        <v>26</v>
      </c>
      <c r="P335" t="s">
        <v>28</v>
      </c>
      <c r="Q335" t="s">
        <v>25</v>
      </c>
      <c r="R335" t="s">
        <v>39</v>
      </c>
      <c r="S335">
        <v>69.538619541785295</v>
      </c>
      <c r="T335">
        <v>3429.0106345192298</v>
      </c>
      <c r="U335">
        <v>44671.737136960102</v>
      </c>
      <c r="V335" t="s">
        <v>25</v>
      </c>
      <c r="W335" t="s">
        <v>30</v>
      </c>
    </row>
    <row r="336" spans="1:23" x14ac:dyDescent="0.35">
      <c r="A336">
        <v>10183.1736288718</v>
      </c>
      <c r="B336" t="s">
        <v>46</v>
      </c>
      <c r="C336">
        <v>-0.163157894736842</v>
      </c>
      <c r="D336" t="s">
        <v>26</v>
      </c>
      <c r="E336" t="s">
        <v>26</v>
      </c>
      <c r="F336">
        <v>33.640322705605897</v>
      </c>
      <c r="G336" t="s">
        <v>26</v>
      </c>
      <c r="H336" t="s">
        <v>47</v>
      </c>
      <c r="I336" t="s">
        <v>27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32</v>
      </c>
      <c r="Q336" t="s">
        <v>26</v>
      </c>
      <c r="R336" t="s">
        <v>29</v>
      </c>
      <c r="S336">
        <v>69.517211267003503</v>
      </c>
      <c r="T336">
        <v>3426.53829788946</v>
      </c>
      <c r="U336">
        <v>44671.536914180899</v>
      </c>
      <c r="V336" t="s">
        <v>25</v>
      </c>
      <c r="W336" t="s">
        <v>30</v>
      </c>
    </row>
    <row r="337" spans="1:23" x14ac:dyDescent="0.35">
      <c r="A337">
        <v>10176.8243071447</v>
      </c>
      <c r="B337" t="s">
        <v>31</v>
      </c>
      <c r="C337">
        <v>-0.18421052631578999</v>
      </c>
      <c r="D337" t="s">
        <v>25</v>
      </c>
      <c r="E337" t="s">
        <v>25</v>
      </c>
      <c r="F337">
        <v>33.632602271189398</v>
      </c>
      <c r="G337" t="s">
        <v>26</v>
      </c>
      <c r="H337" t="s">
        <v>26</v>
      </c>
      <c r="I337" t="s">
        <v>27</v>
      </c>
      <c r="J337" t="s">
        <v>25</v>
      </c>
      <c r="K337" t="s">
        <v>25</v>
      </c>
      <c r="L337" t="s">
        <v>25</v>
      </c>
      <c r="M337" t="s">
        <v>26</v>
      </c>
      <c r="N337" t="s">
        <v>26</v>
      </c>
      <c r="O337" t="s">
        <v>37</v>
      </c>
      <c r="P337" t="s">
        <v>28</v>
      </c>
      <c r="Q337" t="s">
        <v>26</v>
      </c>
      <c r="R337" t="s">
        <v>33</v>
      </c>
      <c r="S337">
        <v>69.495802992221797</v>
      </c>
      <c r="T337">
        <v>3424.0659612596801</v>
      </c>
      <c r="U337">
        <v>44671.336691401702</v>
      </c>
      <c r="V337" t="s">
        <v>25</v>
      </c>
      <c r="W337" t="s">
        <v>30</v>
      </c>
    </row>
    <row r="338" spans="1:23" x14ac:dyDescent="0.35">
      <c r="A338">
        <v>10170.474985417501</v>
      </c>
      <c r="B338" t="s">
        <v>34</v>
      </c>
      <c r="C338">
        <v>-0.20526315789473701</v>
      </c>
      <c r="D338" t="s">
        <v>25</v>
      </c>
      <c r="E338" t="s">
        <v>38</v>
      </c>
      <c r="F338">
        <v>33.6248818367729</v>
      </c>
      <c r="G338" t="s">
        <v>26</v>
      </c>
      <c r="H338" t="s">
        <v>38</v>
      </c>
      <c r="I338" t="s">
        <v>25</v>
      </c>
      <c r="J338" t="s">
        <v>25</v>
      </c>
      <c r="K338" t="s">
        <v>37</v>
      </c>
      <c r="L338" t="s">
        <v>37</v>
      </c>
      <c r="M338" t="s">
        <v>37</v>
      </c>
      <c r="N338" t="s">
        <v>25</v>
      </c>
      <c r="O338" t="s">
        <v>25</v>
      </c>
      <c r="P338" t="s">
        <v>28</v>
      </c>
      <c r="Q338" t="s">
        <v>25</v>
      </c>
      <c r="R338" t="s">
        <v>29</v>
      </c>
      <c r="S338">
        <v>69.474394717440006</v>
      </c>
      <c r="T338">
        <v>3421.5936246299102</v>
      </c>
      <c r="U338">
        <v>44671.136468622499</v>
      </c>
      <c r="V338" t="s">
        <v>26</v>
      </c>
      <c r="W338" t="s">
        <v>30</v>
      </c>
    </row>
    <row r="339" spans="1:23" x14ac:dyDescent="0.35">
      <c r="A339" t="s">
        <v>2</v>
      </c>
      <c r="B339" t="s">
        <v>3</v>
      </c>
      <c r="C339" t="s">
        <v>4</v>
      </c>
      <c r="D339" t="s">
        <v>5</v>
      </c>
      <c r="E339" t="s">
        <v>6</v>
      </c>
      <c r="F339" t="s">
        <v>7</v>
      </c>
      <c r="G339" t="s">
        <v>8</v>
      </c>
      <c r="H339" t="s">
        <v>9</v>
      </c>
      <c r="I339" t="s">
        <v>10</v>
      </c>
      <c r="J339" t="s">
        <v>11</v>
      </c>
      <c r="K339" t="s">
        <v>12</v>
      </c>
      <c r="L339" t="s">
        <v>13</v>
      </c>
      <c r="M339" t="s">
        <v>14</v>
      </c>
      <c r="N339" t="s">
        <v>15</v>
      </c>
      <c r="O339" t="s">
        <v>16</v>
      </c>
      <c r="P339" t="s">
        <v>17</v>
      </c>
      <c r="Q339" t="s">
        <v>18</v>
      </c>
      <c r="R339" t="s">
        <v>19</v>
      </c>
      <c r="S339" t="s">
        <v>20</v>
      </c>
      <c r="T339" t="s">
        <v>21</v>
      </c>
      <c r="U339" t="s">
        <v>22</v>
      </c>
      <c r="V339" t="s">
        <v>23</v>
      </c>
      <c r="W339" t="s">
        <v>24</v>
      </c>
    </row>
    <row r="340" spans="1:23" x14ac:dyDescent="0.35">
      <c r="A340">
        <v>10246.6668461435</v>
      </c>
      <c r="B340" t="s">
        <v>1</v>
      </c>
      <c r="C340">
        <v>0.73333333333333395</v>
      </c>
      <c r="D340" t="s">
        <v>25</v>
      </c>
      <c r="E340" t="s">
        <v>26</v>
      </c>
      <c r="F340">
        <v>33.717527049770702</v>
      </c>
      <c r="G340" t="s">
        <v>26</v>
      </c>
      <c r="H340" t="s">
        <v>26</v>
      </c>
      <c r="I340" t="s">
        <v>27</v>
      </c>
      <c r="J340" t="s">
        <v>26</v>
      </c>
      <c r="K340" t="s">
        <v>26</v>
      </c>
      <c r="L340" t="s">
        <v>26</v>
      </c>
      <c r="M340" t="s">
        <v>25</v>
      </c>
      <c r="N340" t="s">
        <v>25</v>
      </c>
      <c r="O340" t="s">
        <v>25</v>
      </c>
      <c r="P340" t="s">
        <v>28</v>
      </c>
      <c r="Q340" t="s">
        <v>26</v>
      </c>
      <c r="R340" t="s">
        <v>29</v>
      </c>
      <c r="S340">
        <v>69.731294014821103</v>
      </c>
      <c r="T340">
        <v>3451.2616641872</v>
      </c>
      <c r="U340">
        <v>44673.5391419726</v>
      </c>
      <c r="V340" t="s">
        <v>25</v>
      </c>
      <c r="W340" t="s">
        <v>30</v>
      </c>
    </row>
    <row r="341" spans="1:23" x14ac:dyDescent="0.35">
      <c r="A341">
        <v>10240.317524416299</v>
      </c>
      <c r="B341" t="s">
        <v>31</v>
      </c>
      <c r="C341">
        <v>0.84761904761904805</v>
      </c>
      <c r="D341" t="s">
        <v>26</v>
      </c>
      <c r="E341" t="s">
        <v>25</v>
      </c>
      <c r="F341">
        <v>33.709806615354204</v>
      </c>
      <c r="G341" t="s">
        <v>26</v>
      </c>
      <c r="H341" t="s">
        <v>26</v>
      </c>
      <c r="I341" t="s">
        <v>27</v>
      </c>
      <c r="J341" t="s">
        <v>26</v>
      </c>
      <c r="K341" t="s">
        <v>26</v>
      </c>
      <c r="L341" t="s">
        <v>26</v>
      </c>
      <c r="M341" t="s">
        <v>26</v>
      </c>
      <c r="N341" t="s">
        <v>25</v>
      </c>
      <c r="O341" t="s">
        <v>25</v>
      </c>
      <c r="P341" t="s">
        <v>32</v>
      </c>
      <c r="Q341" t="s">
        <v>26</v>
      </c>
      <c r="R341" t="s">
        <v>33</v>
      </c>
      <c r="S341">
        <v>69.709885740039297</v>
      </c>
      <c r="T341">
        <v>3448.7893275574302</v>
      </c>
      <c r="U341">
        <v>44673.338919193397</v>
      </c>
      <c r="V341" t="s">
        <v>25</v>
      </c>
      <c r="W341" t="s">
        <v>30</v>
      </c>
    </row>
    <row r="342" spans="1:23" x14ac:dyDescent="0.35">
      <c r="A342">
        <v>10233.968202689201</v>
      </c>
      <c r="B342" t="s">
        <v>34</v>
      </c>
      <c r="C342">
        <v>0.96190476190476204</v>
      </c>
      <c r="D342" t="s">
        <v>26</v>
      </c>
      <c r="E342" t="s">
        <v>26</v>
      </c>
      <c r="F342">
        <v>33.702086180937798</v>
      </c>
      <c r="G342" t="s">
        <v>26</v>
      </c>
      <c r="H342" t="s">
        <v>26</v>
      </c>
      <c r="I342" t="s">
        <v>35</v>
      </c>
      <c r="J342" t="s">
        <v>25</v>
      </c>
      <c r="K342" t="s">
        <v>36</v>
      </c>
      <c r="L342" t="s">
        <v>37</v>
      </c>
      <c r="M342" t="s">
        <v>25</v>
      </c>
      <c r="N342" t="s">
        <v>25</v>
      </c>
      <c r="O342" t="s">
        <v>26</v>
      </c>
      <c r="P342" t="s">
        <v>32</v>
      </c>
      <c r="Q342" t="s">
        <v>36</v>
      </c>
      <c r="R342" t="s">
        <v>29</v>
      </c>
      <c r="S342">
        <v>69.688477465257606</v>
      </c>
      <c r="T342">
        <v>3446.3169909276498</v>
      </c>
      <c r="U342">
        <v>44673.1386964142</v>
      </c>
      <c r="V342" t="s">
        <v>25</v>
      </c>
      <c r="W342" t="s">
        <v>30</v>
      </c>
    </row>
    <row r="343" spans="1:23" x14ac:dyDescent="0.35">
      <c r="A343">
        <v>10227.618880962</v>
      </c>
      <c r="B343" t="s">
        <v>31</v>
      </c>
      <c r="C343">
        <v>1.0761904761904799</v>
      </c>
      <c r="D343" t="s">
        <v>25</v>
      </c>
      <c r="E343" t="s">
        <v>25</v>
      </c>
      <c r="F343">
        <v>33.694365746521299</v>
      </c>
      <c r="G343" t="s">
        <v>38</v>
      </c>
      <c r="H343" t="s">
        <v>38</v>
      </c>
      <c r="I343" t="s">
        <v>25</v>
      </c>
      <c r="J343" t="s">
        <v>25</v>
      </c>
      <c r="K343" t="s">
        <v>25</v>
      </c>
      <c r="L343" t="s">
        <v>37</v>
      </c>
      <c r="M343" t="s">
        <v>25</v>
      </c>
      <c r="N343" t="s">
        <v>26</v>
      </c>
      <c r="O343" t="s">
        <v>26</v>
      </c>
      <c r="P343" t="s">
        <v>32</v>
      </c>
      <c r="Q343" t="s">
        <v>25</v>
      </c>
      <c r="R343" t="s">
        <v>39</v>
      </c>
      <c r="S343">
        <v>69.6670691904758</v>
      </c>
      <c r="T343">
        <v>3443.84465429788</v>
      </c>
      <c r="U343">
        <v>44672.938473635098</v>
      </c>
      <c r="V343" t="s">
        <v>25</v>
      </c>
      <c r="W343" t="s">
        <v>30</v>
      </c>
    </row>
    <row r="344" spans="1:23" x14ac:dyDescent="0.35">
      <c r="A344">
        <v>10221.269559234801</v>
      </c>
      <c r="B344" t="s">
        <v>34</v>
      </c>
      <c r="C344">
        <v>1.19047619047619</v>
      </c>
      <c r="D344" t="s">
        <v>25</v>
      </c>
      <c r="E344" t="s">
        <v>26</v>
      </c>
      <c r="F344">
        <v>33.686645312104801</v>
      </c>
      <c r="G344" t="s">
        <v>26</v>
      </c>
      <c r="H344" t="s">
        <v>26</v>
      </c>
      <c r="I344" t="s">
        <v>40</v>
      </c>
      <c r="J344" t="s">
        <v>25</v>
      </c>
      <c r="K344" t="s">
        <v>26</v>
      </c>
      <c r="L344" t="s">
        <v>37</v>
      </c>
      <c r="M344" t="s">
        <v>25</v>
      </c>
      <c r="N344" t="s">
        <v>38</v>
      </c>
      <c r="O344" t="s">
        <v>26</v>
      </c>
      <c r="P344" t="s">
        <v>32</v>
      </c>
      <c r="Q344" t="s">
        <v>25</v>
      </c>
      <c r="R344" t="s">
        <v>39</v>
      </c>
      <c r="S344">
        <v>69.645660915694094</v>
      </c>
      <c r="T344">
        <v>3441.3723176681001</v>
      </c>
      <c r="U344">
        <v>44672.738250855902</v>
      </c>
      <c r="V344" t="s">
        <v>25</v>
      </c>
      <c r="W344" t="s">
        <v>30</v>
      </c>
    </row>
    <row r="345" spans="1:23" x14ac:dyDescent="0.35">
      <c r="A345">
        <v>10214.9202375077</v>
      </c>
      <c r="B345" t="s">
        <v>31</v>
      </c>
      <c r="C345">
        <v>1.3047619047619099</v>
      </c>
      <c r="D345" t="s">
        <v>25</v>
      </c>
      <c r="E345" t="s">
        <v>25</v>
      </c>
      <c r="F345">
        <v>33.678924877688303</v>
      </c>
      <c r="G345" t="s">
        <v>26</v>
      </c>
      <c r="H345" t="s">
        <v>25</v>
      </c>
      <c r="I345" t="s">
        <v>27</v>
      </c>
      <c r="J345" t="s">
        <v>26</v>
      </c>
      <c r="K345" t="s">
        <v>26</v>
      </c>
      <c r="L345" t="s">
        <v>26</v>
      </c>
      <c r="M345" t="s">
        <v>26</v>
      </c>
      <c r="N345" t="s">
        <v>25</v>
      </c>
      <c r="O345" t="s">
        <v>25</v>
      </c>
      <c r="P345" t="s">
        <v>41</v>
      </c>
      <c r="Q345" t="s">
        <v>26</v>
      </c>
      <c r="R345" t="s">
        <v>33</v>
      </c>
      <c r="S345">
        <v>69.624252640912303</v>
      </c>
      <c r="T345">
        <v>3438.8999810383302</v>
      </c>
      <c r="U345">
        <v>44672.538028076699</v>
      </c>
      <c r="V345" t="s">
        <v>25</v>
      </c>
      <c r="W345" t="s">
        <v>30</v>
      </c>
    </row>
    <row r="346" spans="1:23" x14ac:dyDescent="0.35">
      <c r="A346">
        <v>10208.570915780499</v>
      </c>
      <c r="B346" t="s">
        <v>1</v>
      </c>
      <c r="C346" t="s">
        <v>26</v>
      </c>
      <c r="D346" t="s">
        <v>25</v>
      </c>
      <c r="E346" t="s">
        <v>26</v>
      </c>
      <c r="F346">
        <v>33.671204443271797</v>
      </c>
      <c r="G346" t="s">
        <v>25</v>
      </c>
      <c r="H346" t="s">
        <v>26</v>
      </c>
      <c r="I346" t="s">
        <v>27</v>
      </c>
      <c r="J346" t="s">
        <v>37</v>
      </c>
      <c r="K346" t="s">
        <v>25</v>
      </c>
      <c r="L346" t="s">
        <v>37</v>
      </c>
      <c r="M346" t="s">
        <v>26</v>
      </c>
      <c r="N346" t="s">
        <v>36</v>
      </c>
      <c r="O346" t="s">
        <v>25</v>
      </c>
      <c r="P346" t="s">
        <v>42</v>
      </c>
      <c r="Q346" t="s">
        <v>26</v>
      </c>
      <c r="R346" t="s">
        <v>43</v>
      </c>
      <c r="S346">
        <v>69.602844366130498</v>
      </c>
      <c r="T346">
        <v>3436.4276444085499</v>
      </c>
      <c r="U346">
        <v>44672.337805297597</v>
      </c>
      <c r="V346" t="s">
        <v>25</v>
      </c>
      <c r="W346" t="s">
        <v>30</v>
      </c>
    </row>
    <row r="347" spans="1:23" x14ac:dyDescent="0.35">
      <c r="A347">
        <v>10202.221594053301</v>
      </c>
      <c r="B347" t="s">
        <v>31</v>
      </c>
      <c r="C347" t="s">
        <v>26</v>
      </c>
      <c r="D347" t="s">
        <v>25</v>
      </c>
      <c r="E347" t="s">
        <v>25</v>
      </c>
      <c r="F347">
        <v>33.663484008855299</v>
      </c>
      <c r="G347" t="s">
        <v>26</v>
      </c>
      <c r="H347" t="s">
        <v>38</v>
      </c>
      <c r="I347" t="s">
        <v>27</v>
      </c>
      <c r="J347" t="s">
        <v>36</v>
      </c>
      <c r="K347" t="s">
        <v>25</v>
      </c>
      <c r="L347" t="s">
        <v>26</v>
      </c>
      <c r="M347" t="s">
        <v>25</v>
      </c>
      <c r="N347" t="s">
        <v>25</v>
      </c>
      <c r="O347" t="s">
        <v>26</v>
      </c>
      <c r="P347" t="s">
        <v>28</v>
      </c>
      <c r="Q347" t="s">
        <v>26</v>
      </c>
      <c r="R347" t="s">
        <v>44</v>
      </c>
      <c r="S347">
        <v>69.581436091348806</v>
      </c>
      <c r="T347">
        <v>3433.95530777878</v>
      </c>
      <c r="U347">
        <v>44672.1375825184</v>
      </c>
      <c r="V347" t="s">
        <v>25</v>
      </c>
      <c r="W347" t="s">
        <v>30</v>
      </c>
    </row>
    <row r="348" spans="1:23" x14ac:dyDescent="0.35">
      <c r="A348">
        <v>10195.8722723262</v>
      </c>
      <c r="B348" t="s">
        <v>1</v>
      </c>
      <c r="C348">
        <v>-0.12105263157894799</v>
      </c>
      <c r="D348" t="s">
        <v>36</v>
      </c>
      <c r="E348" t="s">
        <v>25</v>
      </c>
      <c r="F348">
        <v>33.655763574438801</v>
      </c>
      <c r="G348" t="s">
        <v>26</v>
      </c>
      <c r="H348" t="s">
        <v>25</v>
      </c>
      <c r="I348" t="s">
        <v>27</v>
      </c>
      <c r="J348" t="s">
        <v>37</v>
      </c>
      <c r="K348" t="s">
        <v>26</v>
      </c>
      <c r="L348" t="s">
        <v>37</v>
      </c>
      <c r="M348" t="s">
        <v>25</v>
      </c>
      <c r="N348" t="s">
        <v>37</v>
      </c>
      <c r="O348" t="s">
        <v>26</v>
      </c>
      <c r="P348" t="s">
        <v>45</v>
      </c>
      <c r="Q348" t="s">
        <v>26</v>
      </c>
      <c r="R348" t="s">
        <v>33</v>
      </c>
      <c r="S348">
        <v>69.560027816567001</v>
      </c>
      <c r="T348">
        <v>3431.4829711490002</v>
      </c>
      <c r="U348">
        <v>44671.937359739197</v>
      </c>
      <c r="V348" t="s">
        <v>25</v>
      </c>
      <c r="W348" t="s">
        <v>30</v>
      </c>
    </row>
    <row r="349" spans="1:23" x14ac:dyDescent="0.35">
      <c r="A349">
        <v>10189.522950598999</v>
      </c>
      <c r="B349" t="s">
        <v>34</v>
      </c>
      <c r="C349">
        <v>-0.14210526315789501</v>
      </c>
      <c r="D349" t="s">
        <v>25</v>
      </c>
      <c r="E349" t="s">
        <v>26</v>
      </c>
      <c r="F349">
        <v>33.648043140022303</v>
      </c>
      <c r="G349" t="s">
        <v>26</v>
      </c>
      <c r="H349" t="s">
        <v>36</v>
      </c>
      <c r="I349" t="s">
        <v>27</v>
      </c>
      <c r="J349" t="s">
        <v>26</v>
      </c>
      <c r="K349" t="s">
        <v>37</v>
      </c>
      <c r="L349" t="s">
        <v>37</v>
      </c>
      <c r="M349" t="s">
        <v>26</v>
      </c>
      <c r="N349" t="s">
        <v>26</v>
      </c>
      <c r="O349" t="s">
        <v>26</v>
      </c>
      <c r="P349" t="s">
        <v>28</v>
      </c>
      <c r="Q349" t="s">
        <v>25</v>
      </c>
      <c r="R349" t="s">
        <v>39</v>
      </c>
      <c r="S349">
        <v>69.538619541785295</v>
      </c>
      <c r="T349">
        <v>3429.0106345192298</v>
      </c>
      <c r="U349">
        <v>44671.737136960102</v>
      </c>
      <c r="V349" t="s">
        <v>25</v>
      </c>
      <c r="W349" t="s">
        <v>30</v>
      </c>
    </row>
    <row r="350" spans="1:23" x14ac:dyDescent="0.35">
      <c r="A350">
        <v>10183.1736288718</v>
      </c>
      <c r="B350" t="s">
        <v>46</v>
      </c>
      <c r="C350">
        <v>-0.163157894736842</v>
      </c>
      <c r="D350" t="s">
        <v>26</v>
      </c>
      <c r="E350" t="s">
        <v>26</v>
      </c>
      <c r="F350">
        <v>33.640322705605897</v>
      </c>
      <c r="G350" t="s">
        <v>26</v>
      </c>
      <c r="H350" t="s">
        <v>47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32</v>
      </c>
      <c r="Q350" t="s">
        <v>26</v>
      </c>
      <c r="R350" t="s">
        <v>29</v>
      </c>
      <c r="S350">
        <v>69.517211267003503</v>
      </c>
      <c r="T350">
        <v>3426.53829788946</v>
      </c>
      <c r="U350">
        <v>44671.536914180899</v>
      </c>
      <c r="V350" t="s">
        <v>25</v>
      </c>
      <c r="W350" t="s">
        <v>30</v>
      </c>
    </row>
    <row r="351" spans="1:23" x14ac:dyDescent="0.35">
      <c r="A351">
        <v>10176.8243071447</v>
      </c>
      <c r="B351" t="s">
        <v>31</v>
      </c>
      <c r="C351">
        <v>-0.18421052631578999</v>
      </c>
      <c r="D351" t="s">
        <v>25</v>
      </c>
      <c r="E351" t="s">
        <v>25</v>
      </c>
      <c r="F351">
        <v>33.632602271189398</v>
      </c>
      <c r="G351" t="s">
        <v>26</v>
      </c>
      <c r="H351" t="s">
        <v>26</v>
      </c>
      <c r="I351" t="s">
        <v>27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37</v>
      </c>
      <c r="P351" t="s">
        <v>28</v>
      </c>
      <c r="Q351" t="s">
        <v>26</v>
      </c>
      <c r="R351" t="s">
        <v>33</v>
      </c>
      <c r="S351">
        <v>69.495802992221797</v>
      </c>
      <c r="T351">
        <v>3424.0659612596801</v>
      </c>
      <c r="U351">
        <v>44671.336691401702</v>
      </c>
      <c r="V351" t="s">
        <v>25</v>
      </c>
      <c r="W351" t="s">
        <v>30</v>
      </c>
    </row>
    <row r="352" spans="1:23" x14ac:dyDescent="0.35">
      <c r="A352">
        <v>10170.474985417501</v>
      </c>
      <c r="B352" t="s">
        <v>34</v>
      </c>
      <c r="C352">
        <v>-0.20526315789473701</v>
      </c>
      <c r="D352" t="s">
        <v>25</v>
      </c>
      <c r="E352" t="s">
        <v>38</v>
      </c>
      <c r="F352">
        <v>33.6248818367729</v>
      </c>
      <c r="G352" t="s">
        <v>26</v>
      </c>
      <c r="H352" t="s">
        <v>38</v>
      </c>
      <c r="I352" t="s">
        <v>25</v>
      </c>
      <c r="J352" t="s">
        <v>25</v>
      </c>
      <c r="K352" t="s">
        <v>37</v>
      </c>
      <c r="L352" t="s">
        <v>37</v>
      </c>
      <c r="M352" t="s">
        <v>37</v>
      </c>
      <c r="N352" t="s">
        <v>25</v>
      </c>
      <c r="O352" t="s">
        <v>25</v>
      </c>
      <c r="P352" t="s">
        <v>28</v>
      </c>
      <c r="Q352" t="s">
        <v>25</v>
      </c>
      <c r="R352" t="s">
        <v>29</v>
      </c>
      <c r="S352">
        <v>69.474394717440006</v>
      </c>
      <c r="T352">
        <v>3421.5936246299102</v>
      </c>
      <c r="U352">
        <v>44671.136468622499</v>
      </c>
      <c r="V352" t="s">
        <v>26</v>
      </c>
      <c r="W352" t="s">
        <v>30</v>
      </c>
    </row>
    <row r="353" spans="1:23" x14ac:dyDescent="0.35">
      <c r="A353">
        <v>10164.1256636903</v>
      </c>
      <c r="B353" t="s">
        <v>34</v>
      </c>
      <c r="C353">
        <v>-0.226315789473684</v>
      </c>
      <c r="D353" t="s">
        <v>26</v>
      </c>
      <c r="E353" t="s">
        <v>25</v>
      </c>
      <c r="F353">
        <v>33.617161402356402</v>
      </c>
      <c r="G353" t="s">
        <v>26</v>
      </c>
      <c r="H353" t="s">
        <v>47</v>
      </c>
      <c r="I353" t="s">
        <v>35</v>
      </c>
      <c r="J353" t="s">
        <v>37</v>
      </c>
      <c r="K353" t="s">
        <v>26</v>
      </c>
      <c r="L353" t="s">
        <v>26</v>
      </c>
      <c r="M353" t="s">
        <v>25</v>
      </c>
      <c r="N353" t="s">
        <v>26</v>
      </c>
      <c r="O353" t="s">
        <v>36</v>
      </c>
      <c r="P353" t="s">
        <v>45</v>
      </c>
      <c r="Q353" t="s">
        <v>38</v>
      </c>
      <c r="R353" t="s">
        <v>43</v>
      </c>
      <c r="S353">
        <v>69.4529864426583</v>
      </c>
      <c r="T353">
        <v>3419.1212880001299</v>
      </c>
      <c r="U353">
        <v>44670.936245843397</v>
      </c>
      <c r="V353" t="s">
        <v>25</v>
      </c>
      <c r="W353" t="s">
        <v>30</v>
      </c>
    </row>
    <row r="354" spans="1:23" x14ac:dyDescent="0.35">
      <c r="A354">
        <v>10157.776341963199</v>
      </c>
      <c r="B354" t="s">
        <v>31</v>
      </c>
      <c r="C354">
        <v>-0.24736842105263199</v>
      </c>
      <c r="D354" t="s">
        <v>26</v>
      </c>
      <c r="E354" t="s">
        <v>26</v>
      </c>
      <c r="F354">
        <v>33.609440967939904</v>
      </c>
      <c r="G354" t="s">
        <v>25</v>
      </c>
      <c r="H354" t="s">
        <v>25</v>
      </c>
      <c r="I354" t="s">
        <v>35</v>
      </c>
      <c r="J354" t="s">
        <v>37</v>
      </c>
      <c r="K354" t="s">
        <v>25</v>
      </c>
      <c r="L354" t="s">
        <v>26</v>
      </c>
      <c r="M354" t="s">
        <v>37</v>
      </c>
      <c r="N354" t="s">
        <v>25</v>
      </c>
      <c r="O354" t="s">
        <v>25</v>
      </c>
      <c r="P354" t="s">
        <v>48</v>
      </c>
      <c r="Q354" t="s">
        <v>26</v>
      </c>
      <c r="R354" t="s">
        <v>44</v>
      </c>
      <c r="S354">
        <v>69.431578167876495</v>
      </c>
      <c r="T354">
        <v>3416.64895137036</v>
      </c>
      <c r="U354">
        <v>44670.736023064201</v>
      </c>
      <c r="V354" t="s">
        <v>25</v>
      </c>
      <c r="W354" t="s">
        <v>30</v>
      </c>
    </row>
    <row r="355" spans="1:23" x14ac:dyDescent="0.35">
      <c r="A355">
        <v>10151.427020236</v>
      </c>
      <c r="B355" t="s">
        <v>34</v>
      </c>
      <c r="C355">
        <v>-0.268421052631579</v>
      </c>
      <c r="D355" t="s">
        <v>25</v>
      </c>
      <c r="E355" t="s">
        <v>25</v>
      </c>
      <c r="F355">
        <v>33.601720533523398</v>
      </c>
      <c r="G355" t="s">
        <v>26</v>
      </c>
      <c r="H355" t="s">
        <v>25</v>
      </c>
      <c r="I355" t="s">
        <v>27</v>
      </c>
      <c r="J355" t="s">
        <v>26</v>
      </c>
      <c r="K355" t="s">
        <v>37</v>
      </c>
      <c r="L355" t="s">
        <v>26</v>
      </c>
      <c r="M355" t="s">
        <v>25</v>
      </c>
      <c r="N355" t="s">
        <v>36</v>
      </c>
      <c r="O355" t="s">
        <v>25</v>
      </c>
      <c r="P355" t="s">
        <v>28</v>
      </c>
      <c r="Q355" t="s">
        <v>25</v>
      </c>
      <c r="R355" t="s">
        <v>49</v>
      </c>
      <c r="S355">
        <v>69.410169893094803</v>
      </c>
      <c r="T355">
        <v>3414.1766147405801</v>
      </c>
      <c r="U355">
        <v>44670.535800284997</v>
      </c>
      <c r="V355" t="s">
        <v>25</v>
      </c>
      <c r="W355" t="s">
        <v>30</v>
      </c>
    </row>
    <row r="356" spans="1:23" x14ac:dyDescent="0.35">
      <c r="A356">
        <v>10145.0776985088</v>
      </c>
      <c r="B356" t="s">
        <v>34</v>
      </c>
      <c r="C356">
        <v>-0.28947368421052599</v>
      </c>
      <c r="D356" t="s">
        <v>26</v>
      </c>
      <c r="E356" t="s">
        <v>38</v>
      </c>
      <c r="F356">
        <v>33.5940000991069</v>
      </c>
      <c r="G356" t="s">
        <v>26</v>
      </c>
      <c r="H356" t="s">
        <v>38</v>
      </c>
      <c r="I356" t="s">
        <v>27</v>
      </c>
      <c r="J356" t="s">
        <v>26</v>
      </c>
      <c r="K356" t="s">
        <v>25</v>
      </c>
      <c r="L356" t="s">
        <v>26</v>
      </c>
      <c r="M356" t="s">
        <v>37</v>
      </c>
      <c r="N356" t="s">
        <v>26</v>
      </c>
      <c r="O356" t="s">
        <v>26</v>
      </c>
      <c r="P356" t="s">
        <v>32</v>
      </c>
      <c r="Q356" t="s">
        <v>25</v>
      </c>
      <c r="R356" t="s">
        <v>43</v>
      </c>
      <c r="S356">
        <v>69.388761618312998</v>
      </c>
      <c r="T356">
        <v>3411.7042781108098</v>
      </c>
      <c r="U356">
        <v>44670.335577505903</v>
      </c>
      <c r="V356" t="s">
        <v>25</v>
      </c>
      <c r="W356" t="s">
        <v>30</v>
      </c>
    </row>
    <row r="357" spans="1:23" x14ac:dyDescent="0.35">
      <c r="A357">
        <v>10138.728376781701</v>
      </c>
      <c r="B357" t="s">
        <v>34</v>
      </c>
      <c r="C357">
        <v>-0.31052631578947398</v>
      </c>
      <c r="D357" t="s">
        <v>26</v>
      </c>
      <c r="E357" t="s">
        <v>26</v>
      </c>
      <c r="F357">
        <v>33.586279664690501</v>
      </c>
      <c r="G357" t="s">
        <v>26</v>
      </c>
      <c r="H357" t="s">
        <v>47</v>
      </c>
      <c r="I357" t="s">
        <v>25</v>
      </c>
      <c r="J357" t="s">
        <v>26</v>
      </c>
      <c r="K357" t="s">
        <v>25</v>
      </c>
      <c r="L357" t="s">
        <v>26</v>
      </c>
      <c r="M357" t="s">
        <v>25</v>
      </c>
      <c r="N357" t="s">
        <v>25</v>
      </c>
      <c r="O357" t="s">
        <v>25</v>
      </c>
      <c r="P357" t="s">
        <v>32</v>
      </c>
      <c r="Q357" t="s">
        <v>25</v>
      </c>
      <c r="R357" t="s">
        <v>43</v>
      </c>
      <c r="S357">
        <v>69.367353343531306</v>
      </c>
      <c r="T357">
        <v>3409.2319414810299</v>
      </c>
      <c r="U357">
        <v>44670.135354726699</v>
      </c>
      <c r="V357" t="s">
        <v>26</v>
      </c>
      <c r="W357" t="s">
        <v>30</v>
      </c>
    </row>
    <row r="358" spans="1:23" x14ac:dyDescent="0.35">
      <c r="A358">
        <v>10132.3790550545</v>
      </c>
      <c r="B358" t="s">
        <v>31</v>
      </c>
      <c r="C358">
        <v>-0.33157894736842097</v>
      </c>
      <c r="D358" t="s">
        <v>26</v>
      </c>
      <c r="E358" t="s">
        <v>25</v>
      </c>
      <c r="F358">
        <v>33.578559230274003</v>
      </c>
      <c r="G358" t="s">
        <v>36</v>
      </c>
      <c r="H358" t="s">
        <v>25</v>
      </c>
      <c r="I358" t="s">
        <v>35</v>
      </c>
      <c r="J358" t="s">
        <v>26</v>
      </c>
      <c r="K358" t="s">
        <v>25</v>
      </c>
      <c r="L358" t="s">
        <v>26</v>
      </c>
      <c r="M358" t="s">
        <v>25</v>
      </c>
      <c r="N358" t="s">
        <v>37</v>
      </c>
      <c r="O358" t="s">
        <v>25</v>
      </c>
      <c r="P358" t="s">
        <v>28</v>
      </c>
      <c r="Q358" t="s">
        <v>25</v>
      </c>
      <c r="R358" t="s">
        <v>39</v>
      </c>
      <c r="S358">
        <v>69.345945068749501</v>
      </c>
      <c r="T358">
        <v>3406.7596048512601</v>
      </c>
      <c r="U358">
        <v>44669.935131947503</v>
      </c>
      <c r="V358" t="s">
        <v>26</v>
      </c>
      <c r="W358" t="s">
        <v>30</v>
      </c>
    </row>
    <row r="359" spans="1:23" x14ac:dyDescent="0.35">
      <c r="A359">
        <v>10126.029733327299</v>
      </c>
      <c r="B359" t="s">
        <v>1</v>
      </c>
      <c r="C359">
        <v>-0.35263157894736902</v>
      </c>
      <c r="D359" t="s">
        <v>26</v>
      </c>
      <c r="E359" t="s">
        <v>26</v>
      </c>
      <c r="F359">
        <v>33.570838795857497</v>
      </c>
      <c r="G359" t="s">
        <v>26</v>
      </c>
      <c r="H359" t="s">
        <v>47</v>
      </c>
      <c r="I359" t="s">
        <v>40</v>
      </c>
      <c r="J359" t="s">
        <v>37</v>
      </c>
      <c r="K359" t="s">
        <v>26</v>
      </c>
      <c r="L359" t="s">
        <v>37</v>
      </c>
      <c r="M359" t="s">
        <v>36</v>
      </c>
      <c r="N359" t="s">
        <v>25</v>
      </c>
      <c r="O359" t="s">
        <v>26</v>
      </c>
      <c r="P359" t="s">
        <v>45</v>
      </c>
      <c r="Q359" t="s">
        <v>25</v>
      </c>
      <c r="R359" t="s">
        <v>49</v>
      </c>
      <c r="S359">
        <v>69.324536793967795</v>
      </c>
      <c r="T359">
        <v>3404.2872682214802</v>
      </c>
      <c r="U359">
        <v>44669.734909168299</v>
      </c>
      <c r="V359" t="s">
        <v>25</v>
      </c>
      <c r="W359" t="s">
        <v>30</v>
      </c>
    </row>
    <row r="360" spans="1:23" x14ac:dyDescent="0.35">
      <c r="A360">
        <v>10119.6804116002</v>
      </c>
      <c r="B360" t="s">
        <v>34</v>
      </c>
      <c r="C360">
        <v>-0.37368421052631601</v>
      </c>
      <c r="D360" t="s">
        <v>26</v>
      </c>
      <c r="E360" t="s">
        <v>25</v>
      </c>
      <c r="F360">
        <v>33.563118361440999</v>
      </c>
      <c r="G360" t="s">
        <v>36</v>
      </c>
      <c r="H360" t="s">
        <v>47</v>
      </c>
      <c r="I360" t="s">
        <v>35</v>
      </c>
      <c r="J360" t="s">
        <v>25</v>
      </c>
      <c r="K360" t="s">
        <v>25</v>
      </c>
      <c r="L360" t="s">
        <v>26</v>
      </c>
      <c r="M360" t="s">
        <v>25</v>
      </c>
      <c r="N360" t="s">
        <v>26</v>
      </c>
      <c r="O360" t="s">
        <v>25</v>
      </c>
      <c r="P360" t="s">
        <v>32</v>
      </c>
      <c r="Q360" t="s">
        <v>26</v>
      </c>
      <c r="R360" t="s">
        <v>49</v>
      </c>
      <c r="S360">
        <v>69.303128519186004</v>
      </c>
      <c r="T360">
        <v>3401.8149315917099</v>
      </c>
      <c r="U360">
        <v>44669.534686389197</v>
      </c>
      <c r="V360" t="s">
        <v>25</v>
      </c>
      <c r="W360" t="s">
        <v>30</v>
      </c>
    </row>
    <row r="361" spans="1:23" x14ac:dyDescent="0.35">
      <c r="A361">
        <v>10113.331089873</v>
      </c>
      <c r="B361" t="s">
        <v>34</v>
      </c>
      <c r="C361">
        <v>-0.394736842105263</v>
      </c>
      <c r="D361" t="s">
        <v>26</v>
      </c>
      <c r="E361" t="s">
        <v>26</v>
      </c>
      <c r="F361">
        <v>33.555397927024501</v>
      </c>
      <c r="G361" t="s">
        <v>26</v>
      </c>
      <c r="H361" t="s">
        <v>36</v>
      </c>
      <c r="I361" t="s">
        <v>35</v>
      </c>
      <c r="J361" t="s">
        <v>25</v>
      </c>
      <c r="K361" t="s">
        <v>37</v>
      </c>
      <c r="L361" t="s">
        <v>25</v>
      </c>
      <c r="M361" t="s">
        <v>37</v>
      </c>
      <c r="N361" t="s">
        <v>26</v>
      </c>
      <c r="O361" t="s">
        <v>25</v>
      </c>
      <c r="P361" t="s">
        <v>32</v>
      </c>
      <c r="Q361" t="s">
        <v>26</v>
      </c>
      <c r="R361" t="s">
        <v>33</v>
      </c>
      <c r="S361">
        <v>69.281720244404198</v>
      </c>
      <c r="T361">
        <v>3399.34259496193</v>
      </c>
      <c r="U361">
        <v>44669.334463610001</v>
      </c>
      <c r="V361" t="s">
        <v>26</v>
      </c>
      <c r="W361" t="s">
        <v>30</v>
      </c>
    </row>
    <row r="362" spans="1:23" x14ac:dyDescent="0.35">
      <c r="A362">
        <v>10106.981768145901</v>
      </c>
      <c r="B362" t="s">
        <v>31</v>
      </c>
      <c r="C362">
        <v>-0.41578947368421099</v>
      </c>
      <c r="D362" t="s">
        <v>26</v>
      </c>
      <c r="E362" t="s">
        <v>26</v>
      </c>
      <c r="F362">
        <v>33.547677492608003</v>
      </c>
      <c r="G362" t="s">
        <v>26</v>
      </c>
      <c r="H362" t="s">
        <v>25</v>
      </c>
      <c r="I362" t="s">
        <v>25</v>
      </c>
      <c r="J362" t="s">
        <v>25</v>
      </c>
      <c r="K362" t="s">
        <v>37</v>
      </c>
      <c r="L362" t="s">
        <v>37</v>
      </c>
      <c r="M362" t="s">
        <v>25</v>
      </c>
      <c r="N362" t="s">
        <v>26</v>
      </c>
      <c r="O362" t="s">
        <v>26</v>
      </c>
      <c r="P362" t="s">
        <v>41</v>
      </c>
      <c r="Q362" t="s">
        <v>25</v>
      </c>
      <c r="R362" t="s">
        <v>33</v>
      </c>
      <c r="S362">
        <v>69.260311969622506</v>
      </c>
      <c r="T362">
        <v>3396.8702583321601</v>
      </c>
      <c r="U362">
        <v>44669.134240830797</v>
      </c>
      <c r="V362" t="s">
        <v>25</v>
      </c>
      <c r="W362" t="s">
        <v>30</v>
      </c>
    </row>
    <row r="363" spans="1:23" x14ac:dyDescent="0.35">
      <c r="A363">
        <v>10100.6324464187</v>
      </c>
      <c r="B363" t="s">
        <v>34</v>
      </c>
      <c r="C363">
        <v>-0.43684210526315798</v>
      </c>
      <c r="D363" t="s">
        <v>25</v>
      </c>
      <c r="E363" t="s">
        <v>25</v>
      </c>
      <c r="F363">
        <v>33.539957058191497</v>
      </c>
      <c r="G363" t="s">
        <v>26</v>
      </c>
      <c r="H363" t="s">
        <v>25</v>
      </c>
      <c r="I363" t="s">
        <v>25</v>
      </c>
      <c r="J363" t="s">
        <v>26</v>
      </c>
      <c r="K363" t="s">
        <v>26</v>
      </c>
      <c r="L363" t="s">
        <v>38</v>
      </c>
      <c r="M363" t="s">
        <v>37</v>
      </c>
      <c r="N363" t="s">
        <v>26</v>
      </c>
      <c r="O363" t="s">
        <v>26</v>
      </c>
      <c r="P363" t="s">
        <v>32</v>
      </c>
      <c r="Q363" t="s">
        <v>26</v>
      </c>
      <c r="R363" t="s">
        <v>49</v>
      </c>
      <c r="S363">
        <v>69.238903694840701</v>
      </c>
      <c r="T363">
        <v>3394.3979217023798</v>
      </c>
      <c r="U363">
        <v>44668.934018051703</v>
      </c>
      <c r="V363" t="s">
        <v>25</v>
      </c>
      <c r="W363" t="s">
        <v>50</v>
      </c>
    </row>
    <row r="364" spans="1:23" x14ac:dyDescent="0.35">
      <c r="A364">
        <v>10094.283124691499</v>
      </c>
      <c r="B364" t="s">
        <v>51</v>
      </c>
      <c r="C364">
        <v>-0.45789473684210602</v>
      </c>
      <c r="D364" t="s">
        <v>25</v>
      </c>
      <c r="E364" t="s">
        <v>25</v>
      </c>
      <c r="F364">
        <v>33.532236623774999</v>
      </c>
      <c r="G364" t="s">
        <v>25</v>
      </c>
      <c r="H364" t="s">
        <v>25</v>
      </c>
      <c r="I364" t="s">
        <v>35</v>
      </c>
      <c r="J364" t="s">
        <v>37</v>
      </c>
      <c r="K364" t="s">
        <v>25</v>
      </c>
      <c r="L364" t="s">
        <v>26</v>
      </c>
      <c r="M364" t="s">
        <v>37</v>
      </c>
      <c r="N364" t="s">
        <v>26</v>
      </c>
      <c r="O364" t="s">
        <v>26</v>
      </c>
      <c r="P364" t="s">
        <v>28</v>
      </c>
      <c r="Q364" t="s">
        <v>25</v>
      </c>
      <c r="R364" t="s">
        <v>39</v>
      </c>
      <c r="S364">
        <v>69.217495420058995</v>
      </c>
      <c r="T364">
        <v>3391.9255850726099</v>
      </c>
      <c r="U364">
        <v>44668.733795272499</v>
      </c>
      <c r="V364" t="s">
        <v>25</v>
      </c>
      <c r="W364" t="s">
        <v>30</v>
      </c>
    </row>
    <row r="365" spans="1:23" x14ac:dyDescent="0.35">
      <c r="A365">
        <v>10087.9338029644</v>
      </c>
      <c r="B365" t="s">
        <v>46</v>
      </c>
      <c r="C365">
        <v>-0.47894736842105301</v>
      </c>
      <c r="D365" t="s">
        <v>26</v>
      </c>
      <c r="E365" t="s">
        <v>25</v>
      </c>
      <c r="F365">
        <v>33.5245161893586</v>
      </c>
      <c r="G365" t="s">
        <v>26</v>
      </c>
      <c r="H365" t="s">
        <v>25</v>
      </c>
      <c r="I365" t="s">
        <v>25</v>
      </c>
      <c r="J365" t="s">
        <v>37</v>
      </c>
      <c r="K365" t="s">
        <v>26</v>
      </c>
      <c r="L365" t="s">
        <v>37</v>
      </c>
      <c r="M365" t="s">
        <v>25</v>
      </c>
      <c r="N365" t="s">
        <v>25</v>
      </c>
      <c r="O365" t="s">
        <v>36</v>
      </c>
      <c r="P365" t="s">
        <v>28</v>
      </c>
      <c r="Q365" t="s">
        <v>25</v>
      </c>
      <c r="R365" t="s">
        <v>43</v>
      </c>
      <c r="S365">
        <v>69.196087145277204</v>
      </c>
      <c r="T365">
        <v>3389.45324844283</v>
      </c>
      <c r="U365">
        <v>44668.533572493303</v>
      </c>
      <c r="V365" t="s">
        <v>25</v>
      </c>
      <c r="W365" t="s">
        <v>30</v>
      </c>
    </row>
    <row r="366" spans="1:23" x14ac:dyDescent="0.35">
      <c r="A366">
        <v>10081.5844812372</v>
      </c>
      <c r="B366" t="s">
        <v>0</v>
      </c>
      <c r="C366">
        <v>-0.5</v>
      </c>
      <c r="D366" t="s">
        <v>38</v>
      </c>
      <c r="E366" t="s">
        <v>26</v>
      </c>
      <c r="F366">
        <v>33.516795754942102</v>
      </c>
      <c r="G366" t="s">
        <v>38</v>
      </c>
      <c r="H366" t="s">
        <v>26</v>
      </c>
      <c r="I366" t="s">
        <v>40</v>
      </c>
      <c r="J366" t="s">
        <v>25</v>
      </c>
      <c r="K366" t="s">
        <v>38</v>
      </c>
      <c r="L366" t="s">
        <v>25</v>
      </c>
      <c r="M366" t="s">
        <v>37</v>
      </c>
      <c r="N366" t="s">
        <v>25</v>
      </c>
      <c r="O366" t="s">
        <v>26</v>
      </c>
      <c r="P366" t="s">
        <v>45</v>
      </c>
      <c r="Q366" t="s">
        <v>25</v>
      </c>
      <c r="R366" t="s">
        <v>44</v>
      </c>
      <c r="S366">
        <v>69.174678870495498</v>
      </c>
      <c r="T366">
        <v>3386.9809118130602</v>
      </c>
      <c r="U366">
        <v>44668.333349714201</v>
      </c>
      <c r="V366" t="s">
        <v>25</v>
      </c>
      <c r="W366" t="s">
        <v>30</v>
      </c>
    </row>
    <row r="367" spans="1:23" x14ac:dyDescent="0.35">
      <c r="A367">
        <v>10075.235159510001</v>
      </c>
      <c r="B367" t="s">
        <v>34</v>
      </c>
      <c r="C367">
        <v>-0.52105263157894799</v>
      </c>
      <c r="D367" t="s">
        <v>26</v>
      </c>
      <c r="E367" t="s">
        <v>26</v>
      </c>
      <c r="F367">
        <v>33.509075320525596</v>
      </c>
      <c r="G367" t="s">
        <v>26</v>
      </c>
      <c r="H367" t="s">
        <v>25</v>
      </c>
      <c r="I367" t="s">
        <v>35</v>
      </c>
      <c r="J367" t="s">
        <v>25</v>
      </c>
      <c r="K367" t="s">
        <v>25</v>
      </c>
      <c r="L367" t="s">
        <v>25</v>
      </c>
      <c r="M367" t="s">
        <v>26</v>
      </c>
      <c r="N367" t="s">
        <v>37</v>
      </c>
      <c r="O367" t="s">
        <v>37</v>
      </c>
      <c r="P367" t="s">
        <v>28</v>
      </c>
      <c r="Q367" t="s">
        <v>26</v>
      </c>
      <c r="R367" t="s">
        <v>29</v>
      </c>
      <c r="S367">
        <v>69.153270595713707</v>
      </c>
      <c r="T367">
        <v>3384.5085751832898</v>
      </c>
      <c r="U367">
        <v>44668.133126934998</v>
      </c>
      <c r="V367" t="s">
        <v>25</v>
      </c>
      <c r="W367" t="s">
        <v>30</v>
      </c>
    </row>
    <row r="368" spans="1:23" x14ac:dyDescent="0.35">
      <c r="A368">
        <v>10068.8858377829</v>
      </c>
      <c r="B368" t="s">
        <v>34</v>
      </c>
      <c r="C368" t="s">
        <v>25</v>
      </c>
      <c r="D368" t="s">
        <v>25</v>
      </c>
      <c r="E368" t="s">
        <v>25</v>
      </c>
      <c r="F368">
        <v>33.501354886109098</v>
      </c>
      <c r="G368" t="s">
        <v>26</v>
      </c>
      <c r="H368" t="s">
        <v>47</v>
      </c>
      <c r="I368" t="s">
        <v>35</v>
      </c>
      <c r="J368" t="s">
        <v>26</v>
      </c>
      <c r="K368" t="s">
        <v>37</v>
      </c>
      <c r="L368" t="s">
        <v>25</v>
      </c>
      <c r="M368" t="s">
        <v>26</v>
      </c>
      <c r="N368" t="s">
        <v>38</v>
      </c>
      <c r="O368" t="s">
        <v>26</v>
      </c>
      <c r="P368" t="s">
        <v>41</v>
      </c>
      <c r="Q368" t="s">
        <v>25</v>
      </c>
      <c r="R368" t="s">
        <v>29</v>
      </c>
      <c r="S368">
        <v>69.131862320932001</v>
      </c>
      <c r="T368">
        <v>3382.03623855351</v>
      </c>
      <c r="U368">
        <v>44667.932904155801</v>
      </c>
      <c r="V368" t="s">
        <v>25</v>
      </c>
      <c r="W368" t="s">
        <v>30</v>
      </c>
    </row>
    <row r="369" spans="1:23" x14ac:dyDescent="0.35">
      <c r="A369">
        <v>10062.536516055699</v>
      </c>
      <c r="B369" t="s">
        <v>31</v>
      </c>
      <c r="C369">
        <v>0.163157894736842</v>
      </c>
      <c r="D369" t="s">
        <v>25</v>
      </c>
      <c r="E369" t="s">
        <v>26</v>
      </c>
      <c r="F369">
        <v>33.4936344516926</v>
      </c>
      <c r="G369" t="s">
        <v>26</v>
      </c>
      <c r="H369" t="s">
        <v>47</v>
      </c>
      <c r="I369" t="s">
        <v>27</v>
      </c>
      <c r="J369" t="s">
        <v>26</v>
      </c>
      <c r="K369" t="s">
        <v>37</v>
      </c>
      <c r="L369" t="s">
        <v>25</v>
      </c>
      <c r="M369" t="s">
        <v>26</v>
      </c>
      <c r="N369" t="s">
        <v>37</v>
      </c>
      <c r="O369" t="s">
        <v>25</v>
      </c>
      <c r="P369" t="s">
        <v>32</v>
      </c>
      <c r="Q369" t="s">
        <v>25</v>
      </c>
      <c r="R369" t="s">
        <v>49</v>
      </c>
      <c r="S369">
        <v>69.110454046150195</v>
      </c>
      <c r="T369">
        <v>3379.5639019237401</v>
      </c>
      <c r="U369">
        <v>44667.732681376598</v>
      </c>
      <c r="V369" t="s">
        <v>25</v>
      </c>
      <c r="W369" t="s">
        <v>30</v>
      </c>
    </row>
    <row r="370" spans="1:23" x14ac:dyDescent="0.35">
      <c r="A370">
        <v>10056.1871943285</v>
      </c>
      <c r="B370" t="s">
        <v>31</v>
      </c>
      <c r="C370">
        <v>0.169172932330827</v>
      </c>
      <c r="D370" t="s">
        <v>25</v>
      </c>
      <c r="E370" t="s">
        <v>25</v>
      </c>
      <c r="F370">
        <v>33.485914017276102</v>
      </c>
      <c r="G370" t="s">
        <v>26</v>
      </c>
      <c r="H370" t="s">
        <v>26</v>
      </c>
      <c r="I370" t="s">
        <v>27</v>
      </c>
      <c r="J370" t="s">
        <v>25</v>
      </c>
      <c r="K370" t="s">
        <v>25</v>
      </c>
      <c r="L370" t="s">
        <v>26</v>
      </c>
      <c r="M370" t="s">
        <v>25</v>
      </c>
      <c r="N370" t="s">
        <v>37</v>
      </c>
      <c r="O370" t="s">
        <v>25</v>
      </c>
      <c r="P370" t="s">
        <v>41</v>
      </c>
      <c r="Q370" t="s">
        <v>26</v>
      </c>
      <c r="R370" t="s">
        <v>33</v>
      </c>
      <c r="S370">
        <v>69.089045771368504</v>
      </c>
      <c r="T370">
        <v>3377.0915652939598</v>
      </c>
      <c r="U370">
        <v>44667.532458597503</v>
      </c>
      <c r="V370" t="s">
        <v>25</v>
      </c>
      <c r="W370" t="s">
        <v>30</v>
      </c>
    </row>
    <row r="371" spans="1:23" x14ac:dyDescent="0.35">
      <c r="A371">
        <v>10049.8378726014</v>
      </c>
      <c r="B371" t="s">
        <v>31</v>
      </c>
      <c r="C371">
        <v>0.175187969924812</v>
      </c>
      <c r="D371" t="s">
        <v>26</v>
      </c>
      <c r="E371" t="s">
        <v>25</v>
      </c>
      <c r="F371">
        <v>33.478193582859603</v>
      </c>
      <c r="G371" t="s">
        <v>26</v>
      </c>
      <c r="H371" t="s">
        <v>26</v>
      </c>
      <c r="I371" t="s">
        <v>35</v>
      </c>
      <c r="J371" t="s">
        <v>26</v>
      </c>
      <c r="K371" t="s">
        <v>37</v>
      </c>
      <c r="L371" t="s">
        <v>37</v>
      </c>
      <c r="M371" t="s">
        <v>26</v>
      </c>
      <c r="N371" t="s">
        <v>37</v>
      </c>
      <c r="O371" t="s">
        <v>26</v>
      </c>
      <c r="P371" t="s">
        <v>48</v>
      </c>
      <c r="Q371" t="s">
        <v>26</v>
      </c>
      <c r="R371" t="s">
        <v>39</v>
      </c>
      <c r="S371">
        <v>69.067637496586698</v>
      </c>
      <c r="T371">
        <v>3374.6192286641899</v>
      </c>
      <c r="U371">
        <v>44667.3322358183</v>
      </c>
      <c r="V371" t="s">
        <v>25</v>
      </c>
      <c r="W371" t="s">
        <v>30</v>
      </c>
    </row>
    <row r="372" spans="1:23" x14ac:dyDescent="0.35">
      <c r="A372">
        <v>10043.488550874201</v>
      </c>
      <c r="B372" t="s">
        <v>31</v>
      </c>
      <c r="C372">
        <v>0.181203007518797</v>
      </c>
      <c r="D372" t="s">
        <v>25</v>
      </c>
      <c r="E372" t="s">
        <v>25</v>
      </c>
      <c r="F372">
        <v>33.470473148443197</v>
      </c>
      <c r="G372" t="s">
        <v>26</v>
      </c>
      <c r="H372" t="s">
        <v>26</v>
      </c>
      <c r="I372" t="s">
        <v>25</v>
      </c>
      <c r="J372" t="s">
        <v>25</v>
      </c>
      <c r="K372" t="s">
        <v>37</v>
      </c>
      <c r="L372" t="s">
        <v>26</v>
      </c>
      <c r="M372" t="s">
        <v>37</v>
      </c>
      <c r="N372" t="s">
        <v>37</v>
      </c>
      <c r="O372" t="s">
        <v>25</v>
      </c>
      <c r="P372" t="s">
        <v>28</v>
      </c>
      <c r="Q372" t="s">
        <v>26</v>
      </c>
      <c r="R372" t="s">
        <v>39</v>
      </c>
      <c r="S372">
        <v>69.046229221804893</v>
      </c>
      <c r="T372">
        <v>3372.14689203441</v>
      </c>
      <c r="U372">
        <v>44667.132013039103</v>
      </c>
      <c r="V372" t="s">
        <v>25</v>
      </c>
      <c r="W372" t="s">
        <v>30</v>
      </c>
    </row>
    <row r="373" spans="1:23" x14ac:dyDescent="0.35">
      <c r="A373">
        <v>10037.139229147</v>
      </c>
      <c r="B373" t="s">
        <v>31</v>
      </c>
      <c r="C373">
        <v>0.18721804511278201</v>
      </c>
      <c r="D373" t="s">
        <v>26</v>
      </c>
      <c r="E373" t="s">
        <v>25</v>
      </c>
      <c r="F373">
        <v>33.462752714026699</v>
      </c>
      <c r="G373" t="s">
        <v>26</v>
      </c>
      <c r="H373" t="s">
        <v>26</v>
      </c>
      <c r="I373" t="s">
        <v>25</v>
      </c>
      <c r="J373" t="s">
        <v>37</v>
      </c>
      <c r="K373" t="s">
        <v>26</v>
      </c>
      <c r="L373" t="s">
        <v>25</v>
      </c>
      <c r="M373" t="s">
        <v>37</v>
      </c>
      <c r="N373" t="s">
        <v>25</v>
      </c>
      <c r="O373" t="s">
        <v>26</v>
      </c>
      <c r="P373" t="s">
        <v>28</v>
      </c>
      <c r="Q373" t="s">
        <v>25</v>
      </c>
      <c r="R373" t="s">
        <v>39</v>
      </c>
      <c r="S373">
        <v>69.024820947023201</v>
      </c>
      <c r="T373">
        <v>3369.6745554046402</v>
      </c>
      <c r="U373">
        <v>44666.931790260001</v>
      </c>
      <c r="V373" t="s">
        <v>25</v>
      </c>
      <c r="W373" t="s">
        <v>30</v>
      </c>
    </row>
    <row r="374" spans="1:23" x14ac:dyDescent="0.35">
      <c r="A374">
        <v>10030.789907419899</v>
      </c>
      <c r="B374" t="s">
        <v>34</v>
      </c>
      <c r="C374">
        <v>0.19323308270676701</v>
      </c>
      <c r="D374" t="s">
        <v>26</v>
      </c>
      <c r="E374" t="s">
        <v>25</v>
      </c>
      <c r="F374">
        <v>33.455032279610201</v>
      </c>
      <c r="G374" t="s">
        <v>38</v>
      </c>
      <c r="H374" t="s">
        <v>25</v>
      </c>
      <c r="I374" t="s">
        <v>27</v>
      </c>
      <c r="J374" t="s">
        <v>26</v>
      </c>
      <c r="K374" t="s">
        <v>25</v>
      </c>
      <c r="L374" t="s">
        <v>25</v>
      </c>
      <c r="M374" t="s">
        <v>25</v>
      </c>
      <c r="N374" t="s">
        <v>38</v>
      </c>
      <c r="O374" t="s">
        <v>25</v>
      </c>
      <c r="P374" t="s">
        <v>32</v>
      </c>
      <c r="Q374" t="s">
        <v>26</v>
      </c>
      <c r="R374" t="s">
        <v>33</v>
      </c>
      <c r="S374">
        <v>69.003412672241495</v>
      </c>
      <c r="T374">
        <v>3367.2022187748598</v>
      </c>
      <c r="U374">
        <v>44666.731567480798</v>
      </c>
      <c r="V374" t="s">
        <v>25</v>
      </c>
      <c r="W374" t="s">
        <v>30</v>
      </c>
    </row>
    <row r="375" spans="1:23" x14ac:dyDescent="0.35">
      <c r="A375">
        <v>10024.440585692701</v>
      </c>
      <c r="B375" t="s">
        <v>34</v>
      </c>
      <c r="C375">
        <v>0.19924812030075201</v>
      </c>
      <c r="D375" t="s">
        <v>25</v>
      </c>
      <c r="E375" t="s">
        <v>26</v>
      </c>
      <c r="F375">
        <v>33.447311845193703</v>
      </c>
      <c r="G375" t="s">
        <v>25</v>
      </c>
      <c r="H375" t="s">
        <v>25</v>
      </c>
      <c r="I375" t="s">
        <v>35</v>
      </c>
      <c r="J375" t="s">
        <v>26</v>
      </c>
      <c r="K375" t="s">
        <v>36</v>
      </c>
      <c r="L375" t="s">
        <v>25</v>
      </c>
      <c r="M375" t="s">
        <v>25</v>
      </c>
      <c r="N375" t="s">
        <v>25</v>
      </c>
      <c r="O375" t="s">
        <v>25</v>
      </c>
      <c r="P375" t="s">
        <v>32</v>
      </c>
      <c r="Q375" t="s">
        <v>25</v>
      </c>
      <c r="R375" t="s">
        <v>43</v>
      </c>
      <c r="S375">
        <v>68.982004397459704</v>
      </c>
      <c r="T375">
        <v>3364.72988214509</v>
      </c>
      <c r="U375">
        <v>44666.531344701601</v>
      </c>
      <c r="V375" t="s">
        <v>25</v>
      </c>
      <c r="W375" t="s">
        <v>30</v>
      </c>
    </row>
    <row r="376" spans="1:23" x14ac:dyDescent="0.35">
      <c r="A376">
        <v>10018.0912639655</v>
      </c>
      <c r="B376" t="s">
        <v>34</v>
      </c>
      <c r="C376">
        <v>0.20526315789473701</v>
      </c>
      <c r="D376" t="s">
        <v>38</v>
      </c>
      <c r="E376" t="s">
        <v>26</v>
      </c>
      <c r="F376">
        <v>33.439591410777197</v>
      </c>
      <c r="G376" t="s">
        <v>36</v>
      </c>
      <c r="H376" t="s">
        <v>38</v>
      </c>
      <c r="I376" t="s">
        <v>27</v>
      </c>
      <c r="J376" t="s">
        <v>26</v>
      </c>
      <c r="K376" t="s">
        <v>26</v>
      </c>
      <c r="L376" t="s">
        <v>36</v>
      </c>
      <c r="M376" t="s">
        <v>25</v>
      </c>
      <c r="N376" t="s">
        <v>26</v>
      </c>
      <c r="O376" t="s">
        <v>26</v>
      </c>
      <c r="P376" t="s">
        <v>28</v>
      </c>
      <c r="Q376" t="s">
        <v>26</v>
      </c>
      <c r="R376" t="s">
        <v>39</v>
      </c>
      <c r="S376">
        <v>68.960596122677899</v>
      </c>
      <c r="T376">
        <v>3362.2575455153101</v>
      </c>
      <c r="U376">
        <v>44666.3311219225</v>
      </c>
      <c r="V376" t="s">
        <v>25</v>
      </c>
      <c r="W376" t="s">
        <v>30</v>
      </c>
    </row>
    <row r="377" spans="1:23" x14ac:dyDescent="0.35">
      <c r="A377">
        <v>10011.741942238399</v>
      </c>
      <c r="B377" t="s">
        <v>51</v>
      </c>
      <c r="C377">
        <v>0.21127819548872201</v>
      </c>
      <c r="D377" t="s">
        <v>26</v>
      </c>
      <c r="E377" t="s">
        <v>25</v>
      </c>
      <c r="F377">
        <v>33.431870976360699</v>
      </c>
      <c r="G377" t="s">
        <v>26</v>
      </c>
      <c r="H377" t="s">
        <v>25</v>
      </c>
      <c r="I377" t="s">
        <v>27</v>
      </c>
      <c r="J377" t="s">
        <v>37</v>
      </c>
      <c r="K377" t="s">
        <v>25</v>
      </c>
      <c r="L377" t="s">
        <v>37</v>
      </c>
      <c r="M377" t="s">
        <v>37</v>
      </c>
      <c r="N377" t="s">
        <v>25</v>
      </c>
      <c r="O377" t="s">
        <v>26</v>
      </c>
      <c r="P377" t="s">
        <v>48</v>
      </c>
      <c r="Q377" t="s">
        <v>26</v>
      </c>
      <c r="R377" t="s">
        <v>33</v>
      </c>
      <c r="S377">
        <v>68.939187847896207</v>
      </c>
      <c r="T377">
        <v>3359.7852088855402</v>
      </c>
      <c r="U377">
        <v>44666.130899143303</v>
      </c>
      <c r="V377" t="s">
        <v>25</v>
      </c>
      <c r="W377" t="s">
        <v>30</v>
      </c>
    </row>
    <row r="378" spans="1:23" x14ac:dyDescent="0.35">
      <c r="A378">
        <v>10005.3926205112</v>
      </c>
      <c r="B378" t="s">
        <v>34</v>
      </c>
      <c r="C378">
        <v>0.21729323308270701</v>
      </c>
      <c r="D378" t="s">
        <v>25</v>
      </c>
      <c r="E378" t="s">
        <v>25</v>
      </c>
      <c r="F378">
        <v>33.424150541944201</v>
      </c>
      <c r="G378" t="s">
        <v>26</v>
      </c>
      <c r="H378" t="s">
        <v>47</v>
      </c>
      <c r="I378" t="s">
        <v>35</v>
      </c>
      <c r="J378" t="s">
        <v>26</v>
      </c>
      <c r="K378" t="s">
        <v>37</v>
      </c>
      <c r="L378" t="s">
        <v>26</v>
      </c>
      <c r="M378" t="s">
        <v>25</v>
      </c>
      <c r="N378" t="s">
        <v>38</v>
      </c>
      <c r="O378" t="s">
        <v>25</v>
      </c>
      <c r="P378" t="s">
        <v>45</v>
      </c>
      <c r="Q378" t="s">
        <v>26</v>
      </c>
      <c r="R378" t="s">
        <v>49</v>
      </c>
      <c r="S378">
        <v>68.917779573114402</v>
      </c>
      <c r="T378">
        <v>3357.3128722557599</v>
      </c>
      <c r="U378">
        <v>44665.9306763641</v>
      </c>
      <c r="V378" t="s">
        <v>25</v>
      </c>
      <c r="W378" t="s">
        <v>30</v>
      </c>
    </row>
    <row r="379" spans="1:23" x14ac:dyDescent="0.35">
      <c r="A379">
        <v>9999.0432987840504</v>
      </c>
      <c r="B379" t="s">
        <v>34</v>
      </c>
      <c r="C379">
        <v>0.22330827067669201</v>
      </c>
      <c r="D379" t="s">
        <v>25</v>
      </c>
      <c r="E379" t="s">
        <v>25</v>
      </c>
      <c r="F379">
        <v>33.416430107527702</v>
      </c>
      <c r="G379" t="s">
        <v>26</v>
      </c>
      <c r="H379" t="s">
        <v>25</v>
      </c>
      <c r="I379" t="s">
        <v>27</v>
      </c>
      <c r="J379" t="s">
        <v>37</v>
      </c>
      <c r="K379" t="s">
        <v>37</v>
      </c>
      <c r="L379" t="s">
        <v>25</v>
      </c>
      <c r="M379" t="s">
        <v>26</v>
      </c>
      <c r="N379" t="s">
        <v>26</v>
      </c>
      <c r="O379" t="s">
        <v>26</v>
      </c>
      <c r="P379" t="s">
        <v>28</v>
      </c>
      <c r="Q379" t="s">
        <v>25</v>
      </c>
      <c r="R379" t="s">
        <v>33</v>
      </c>
      <c r="S379">
        <v>68.896371298332696</v>
      </c>
      <c r="T379">
        <v>3354.84053562599</v>
      </c>
      <c r="U379">
        <v>44665.730453584903</v>
      </c>
      <c r="V379" t="s">
        <v>25</v>
      </c>
      <c r="W379" t="s">
        <v>50</v>
      </c>
    </row>
    <row r="380" spans="1:23" x14ac:dyDescent="0.35">
      <c r="A380">
        <v>9992.6939770568806</v>
      </c>
      <c r="B380" t="s">
        <v>1</v>
      </c>
      <c r="C380">
        <v>0.22932330827067701</v>
      </c>
      <c r="D380" t="s">
        <v>26</v>
      </c>
      <c r="E380" t="s">
        <v>26</v>
      </c>
      <c r="F380">
        <v>33.408709673111296</v>
      </c>
      <c r="G380" t="s">
        <v>26</v>
      </c>
      <c r="H380" t="s">
        <v>26</v>
      </c>
      <c r="I380" t="s">
        <v>25</v>
      </c>
      <c r="J380" t="s">
        <v>37</v>
      </c>
      <c r="K380" t="s">
        <v>25</v>
      </c>
      <c r="L380" t="s">
        <v>25</v>
      </c>
      <c r="M380" t="s">
        <v>25</v>
      </c>
      <c r="N380" t="s">
        <v>38</v>
      </c>
      <c r="O380" t="s">
        <v>37</v>
      </c>
      <c r="P380" t="s">
        <v>32</v>
      </c>
      <c r="Q380" t="s">
        <v>26</v>
      </c>
      <c r="R380" t="s">
        <v>29</v>
      </c>
      <c r="S380">
        <v>68.874963023550904</v>
      </c>
      <c r="T380">
        <v>3352.3681989962101</v>
      </c>
      <c r="U380">
        <v>44665.530230805802</v>
      </c>
      <c r="V380" t="s">
        <v>25</v>
      </c>
      <c r="W380" t="s">
        <v>30</v>
      </c>
    </row>
    <row r="381" spans="1:23" x14ac:dyDescent="0.35">
      <c r="A381">
        <v>9986.3446553297199</v>
      </c>
      <c r="B381" t="s">
        <v>31</v>
      </c>
      <c r="C381">
        <v>0.23533834586466201</v>
      </c>
      <c r="D381" t="s">
        <v>38</v>
      </c>
      <c r="E381" t="s">
        <v>38</v>
      </c>
      <c r="F381">
        <v>33.400989238694798</v>
      </c>
      <c r="G381" t="s">
        <v>26</v>
      </c>
      <c r="H381" t="s">
        <v>26</v>
      </c>
      <c r="I381" t="s">
        <v>40</v>
      </c>
      <c r="J381" t="s">
        <v>25</v>
      </c>
      <c r="K381" t="s">
        <v>25</v>
      </c>
      <c r="L381" t="s">
        <v>37</v>
      </c>
      <c r="M381" t="s">
        <v>26</v>
      </c>
      <c r="N381" t="s">
        <v>38</v>
      </c>
      <c r="O381" t="s">
        <v>26</v>
      </c>
      <c r="P381" t="s">
        <v>32</v>
      </c>
      <c r="Q381" t="s">
        <v>25</v>
      </c>
      <c r="R381" t="s">
        <v>39</v>
      </c>
      <c r="S381">
        <v>68.853554748769199</v>
      </c>
      <c r="T381">
        <v>3349.8958623664398</v>
      </c>
      <c r="U381">
        <v>44665.330008026598</v>
      </c>
      <c r="V381" t="s">
        <v>25</v>
      </c>
      <c r="W381" t="s">
        <v>30</v>
      </c>
    </row>
    <row r="382" spans="1:23" x14ac:dyDescent="0.35">
      <c r="A382">
        <v>9979.9953336025501</v>
      </c>
      <c r="B382" t="s">
        <v>0</v>
      </c>
      <c r="C382">
        <v>0.24135338345864699</v>
      </c>
      <c r="D382" t="s">
        <v>26</v>
      </c>
      <c r="E382" t="s">
        <v>36</v>
      </c>
      <c r="F382">
        <v>33.3932688042783</v>
      </c>
      <c r="G382" t="s">
        <v>25</v>
      </c>
      <c r="H382" t="s">
        <v>26</v>
      </c>
      <c r="I382" t="s">
        <v>35</v>
      </c>
      <c r="J382" t="s">
        <v>37</v>
      </c>
      <c r="K382" t="s">
        <v>37</v>
      </c>
      <c r="L382" t="s">
        <v>37</v>
      </c>
      <c r="M382" t="s">
        <v>25</v>
      </c>
      <c r="N382" t="s">
        <v>38</v>
      </c>
      <c r="O382" t="s">
        <v>25</v>
      </c>
      <c r="P382" t="s">
        <v>32</v>
      </c>
      <c r="Q382" t="s">
        <v>25</v>
      </c>
      <c r="R382" t="s">
        <v>33</v>
      </c>
      <c r="S382">
        <v>68.832146473987393</v>
      </c>
      <c r="T382">
        <v>3347.4235257366599</v>
      </c>
      <c r="U382">
        <v>44665.129785247402</v>
      </c>
      <c r="V382" t="s">
        <v>25</v>
      </c>
      <c r="W382" t="s">
        <v>30</v>
      </c>
    </row>
    <row r="383" spans="1:23" x14ac:dyDescent="0.35">
      <c r="A383">
        <v>9973.6460118753894</v>
      </c>
      <c r="B383" t="s">
        <v>34</v>
      </c>
      <c r="C383">
        <v>0.24736842105263199</v>
      </c>
      <c r="D383" t="s">
        <v>38</v>
      </c>
      <c r="E383" t="s">
        <v>25</v>
      </c>
      <c r="F383">
        <v>33.385548369861802</v>
      </c>
      <c r="G383" t="s">
        <v>26</v>
      </c>
      <c r="H383" t="s">
        <v>26</v>
      </c>
      <c r="I383" t="s">
        <v>35</v>
      </c>
      <c r="J383" t="s">
        <v>37</v>
      </c>
      <c r="K383" t="s">
        <v>26</v>
      </c>
      <c r="L383" t="s">
        <v>25</v>
      </c>
      <c r="M383" t="s">
        <v>26</v>
      </c>
      <c r="N383" t="s">
        <v>37</v>
      </c>
      <c r="O383" t="s">
        <v>37</v>
      </c>
      <c r="P383" t="s">
        <v>45</v>
      </c>
      <c r="Q383" t="s">
        <v>36</v>
      </c>
      <c r="R383" t="s">
        <v>44</v>
      </c>
      <c r="S383">
        <v>68.810738199205701</v>
      </c>
      <c r="T383">
        <v>3344.9511891068901</v>
      </c>
      <c r="U383">
        <v>44664.9295624683</v>
      </c>
      <c r="V383" t="s">
        <v>26</v>
      </c>
      <c r="W383" t="s">
        <v>30</v>
      </c>
    </row>
    <row r="384" spans="1:23" x14ac:dyDescent="0.35">
      <c r="A384">
        <v>9967.2966901482196</v>
      </c>
      <c r="B384" t="s">
        <v>34</v>
      </c>
      <c r="C384">
        <v>0.25338345864661699</v>
      </c>
      <c r="D384" t="s">
        <v>26</v>
      </c>
      <c r="E384" t="s">
        <v>26</v>
      </c>
      <c r="F384">
        <v>33.377827935445303</v>
      </c>
      <c r="G384" t="s">
        <v>26</v>
      </c>
      <c r="H384" t="s">
        <v>26</v>
      </c>
      <c r="I384" t="s">
        <v>27</v>
      </c>
      <c r="J384" t="s">
        <v>26</v>
      </c>
      <c r="K384" t="s">
        <v>26</v>
      </c>
      <c r="L384" t="s">
        <v>25</v>
      </c>
      <c r="M384" t="s">
        <v>37</v>
      </c>
      <c r="N384" t="s">
        <v>26</v>
      </c>
      <c r="O384" t="s">
        <v>37</v>
      </c>
      <c r="P384" t="s">
        <v>32</v>
      </c>
      <c r="Q384" t="s">
        <v>36</v>
      </c>
      <c r="R384" t="s">
        <v>49</v>
      </c>
      <c r="S384">
        <v>68.789329924423896</v>
      </c>
      <c r="T384">
        <v>3342.4788524771202</v>
      </c>
      <c r="U384">
        <v>44664.729339689096</v>
      </c>
      <c r="V384" t="s">
        <v>25</v>
      </c>
      <c r="W384" t="s">
        <v>30</v>
      </c>
    </row>
    <row r="385" spans="1:23" x14ac:dyDescent="0.35">
      <c r="A385">
        <v>9960.9473684210607</v>
      </c>
      <c r="B385" t="s">
        <v>34</v>
      </c>
      <c r="C385">
        <v>0.25939849624060202</v>
      </c>
      <c r="D385" t="s">
        <v>38</v>
      </c>
      <c r="E385" t="s">
        <v>26</v>
      </c>
      <c r="F385">
        <v>33.370107501028798</v>
      </c>
      <c r="G385" t="s">
        <v>26</v>
      </c>
      <c r="H385" t="s">
        <v>26</v>
      </c>
      <c r="I385" t="s">
        <v>27</v>
      </c>
      <c r="J385" t="s">
        <v>37</v>
      </c>
      <c r="K385" t="s">
        <v>25</v>
      </c>
      <c r="L385" t="s">
        <v>25</v>
      </c>
      <c r="M385" t="s">
        <v>25</v>
      </c>
      <c r="N385" t="s">
        <v>25</v>
      </c>
      <c r="O385" t="s">
        <v>26</v>
      </c>
      <c r="P385" t="s">
        <v>41</v>
      </c>
      <c r="Q385" t="s">
        <v>25</v>
      </c>
      <c r="R385" t="s">
        <v>43</v>
      </c>
      <c r="S385">
        <v>68.767921649642204</v>
      </c>
      <c r="T385">
        <v>3340.0065158473399</v>
      </c>
      <c r="U385">
        <v>44664.5291169099</v>
      </c>
      <c r="V385" t="s">
        <v>25</v>
      </c>
      <c r="W385" t="s">
        <v>30</v>
      </c>
    </row>
    <row r="386" spans="1:23" x14ac:dyDescent="0.35">
      <c r="A386">
        <v>9954.5980466938909</v>
      </c>
      <c r="B386" t="s">
        <v>34</v>
      </c>
      <c r="C386">
        <v>0.26541353383458699</v>
      </c>
      <c r="D386" t="s">
        <v>25</v>
      </c>
      <c r="E386" t="s">
        <v>25</v>
      </c>
      <c r="F386">
        <v>33.3623870666123</v>
      </c>
      <c r="G386" t="s">
        <v>26</v>
      </c>
      <c r="H386" t="s">
        <v>26</v>
      </c>
      <c r="I386" t="s">
        <v>27</v>
      </c>
      <c r="J386" t="s">
        <v>37</v>
      </c>
      <c r="K386" t="s">
        <v>37</v>
      </c>
      <c r="L386" t="s">
        <v>37</v>
      </c>
      <c r="M386" t="s">
        <v>37</v>
      </c>
      <c r="N386" t="s">
        <v>37</v>
      </c>
      <c r="O386" t="s">
        <v>26</v>
      </c>
      <c r="P386" t="s">
        <v>32</v>
      </c>
      <c r="Q386" t="s">
        <v>25</v>
      </c>
      <c r="R386" t="s">
        <v>29</v>
      </c>
      <c r="S386">
        <v>68.746513374860399</v>
      </c>
      <c r="T386">
        <v>3337.53417921757</v>
      </c>
      <c r="U386">
        <v>44664.328894130798</v>
      </c>
      <c r="V386" t="s">
        <v>25</v>
      </c>
      <c r="W386" t="s">
        <v>30</v>
      </c>
    </row>
    <row r="387" spans="1:23" x14ac:dyDescent="0.35">
      <c r="A387">
        <v>9948.2487249667302</v>
      </c>
      <c r="B387" t="s">
        <v>51</v>
      </c>
      <c r="C387">
        <v>0.27142857142857202</v>
      </c>
      <c r="D387" t="s">
        <v>38</v>
      </c>
      <c r="E387" t="s">
        <v>26</v>
      </c>
      <c r="F387">
        <v>33.354666632195901</v>
      </c>
      <c r="G387" t="s">
        <v>26</v>
      </c>
      <c r="H387" t="s">
        <v>26</v>
      </c>
      <c r="I387" t="s">
        <v>35</v>
      </c>
      <c r="J387" t="s">
        <v>25</v>
      </c>
      <c r="K387" t="s">
        <v>26</v>
      </c>
      <c r="L387" t="s">
        <v>26</v>
      </c>
      <c r="M387" t="s">
        <v>25</v>
      </c>
      <c r="N387" t="s">
        <v>36</v>
      </c>
      <c r="O387" t="s">
        <v>26</v>
      </c>
      <c r="P387" t="s">
        <v>32</v>
      </c>
      <c r="Q387" t="s">
        <v>26</v>
      </c>
      <c r="R387" t="s">
        <v>33</v>
      </c>
      <c r="S387">
        <v>68.725105100078693</v>
      </c>
      <c r="T387">
        <v>3335.0618425877901</v>
      </c>
      <c r="U387">
        <v>44664.128671351602</v>
      </c>
      <c r="V387" t="s">
        <v>25</v>
      </c>
      <c r="W387" t="s">
        <v>30</v>
      </c>
    </row>
    <row r="388" spans="1:23" x14ac:dyDescent="0.35">
      <c r="A388">
        <v>9941.8994032395603</v>
      </c>
      <c r="B388" t="s">
        <v>1</v>
      </c>
      <c r="C388">
        <v>0.27744360902255699</v>
      </c>
      <c r="D388" t="s">
        <v>25</v>
      </c>
      <c r="E388" t="s">
        <v>26</v>
      </c>
      <c r="F388">
        <v>33.346946197779403</v>
      </c>
      <c r="G388" t="s">
        <v>26</v>
      </c>
      <c r="H388" t="s">
        <v>25</v>
      </c>
      <c r="I388" t="s">
        <v>25</v>
      </c>
      <c r="J388" t="s">
        <v>36</v>
      </c>
      <c r="K388" t="s">
        <v>38</v>
      </c>
      <c r="L388" t="s">
        <v>26</v>
      </c>
      <c r="M388" t="s">
        <v>37</v>
      </c>
      <c r="N388" t="s">
        <v>25</v>
      </c>
      <c r="O388" t="s">
        <v>37</v>
      </c>
      <c r="P388" t="s">
        <v>32</v>
      </c>
      <c r="Q388" t="s">
        <v>26</v>
      </c>
      <c r="R388" t="s">
        <v>49</v>
      </c>
      <c r="S388">
        <v>68.703696825296902</v>
      </c>
      <c r="T388">
        <v>3332.5895059580198</v>
      </c>
      <c r="U388">
        <v>44663.928448572398</v>
      </c>
      <c r="V388" t="s">
        <v>25</v>
      </c>
      <c r="W388" t="s">
        <v>30</v>
      </c>
    </row>
    <row r="389" spans="1:23" x14ac:dyDescent="0.35">
      <c r="A389">
        <v>9935.5500815123905</v>
      </c>
      <c r="B389" t="s">
        <v>46</v>
      </c>
      <c r="C389" t="s">
        <v>25</v>
      </c>
      <c r="D389" t="s">
        <v>26</v>
      </c>
      <c r="E389" t="s">
        <v>25</v>
      </c>
      <c r="F389">
        <v>33.339225763362897</v>
      </c>
      <c r="G389" t="s">
        <v>25</v>
      </c>
      <c r="H389" t="s">
        <v>25</v>
      </c>
      <c r="I389" t="s">
        <v>35</v>
      </c>
      <c r="J389" t="s">
        <v>26</v>
      </c>
      <c r="K389" t="s">
        <v>25</v>
      </c>
      <c r="L389" t="s">
        <v>25</v>
      </c>
      <c r="M389" t="s">
        <v>38</v>
      </c>
      <c r="N389" t="s">
        <v>26</v>
      </c>
      <c r="O389" t="s">
        <v>25</v>
      </c>
      <c r="P389" t="s">
        <v>42</v>
      </c>
      <c r="Q389" t="s">
        <v>26</v>
      </c>
      <c r="R389" t="s">
        <v>33</v>
      </c>
      <c r="S389">
        <v>68.682288550515196</v>
      </c>
      <c r="T389">
        <v>3330.1171693282399</v>
      </c>
      <c r="U389">
        <v>44663.728225793202</v>
      </c>
      <c r="V389" t="s">
        <v>25</v>
      </c>
      <c r="W389" t="s">
        <v>30</v>
      </c>
    </row>
    <row r="390" spans="1:23" x14ac:dyDescent="0.35">
      <c r="A390">
        <v>9929.2007597852298</v>
      </c>
      <c r="B390" t="s">
        <v>46</v>
      </c>
      <c r="C390">
        <v>0.19230769230769301</v>
      </c>
      <c r="D390" t="s">
        <v>25</v>
      </c>
      <c r="E390" t="s">
        <v>26</v>
      </c>
      <c r="F390">
        <v>33.331505328946399</v>
      </c>
      <c r="G390" t="s">
        <v>26</v>
      </c>
      <c r="H390" t="s">
        <v>47</v>
      </c>
      <c r="I390" t="s">
        <v>25</v>
      </c>
      <c r="J390" t="s">
        <v>25</v>
      </c>
      <c r="K390" t="s">
        <v>26</v>
      </c>
      <c r="L390" t="s">
        <v>26</v>
      </c>
      <c r="M390" t="s">
        <v>37</v>
      </c>
      <c r="N390" t="s">
        <v>37</v>
      </c>
      <c r="O390" t="s">
        <v>37</v>
      </c>
      <c r="P390" t="s">
        <v>32</v>
      </c>
      <c r="Q390" t="s">
        <v>36</v>
      </c>
      <c r="R390" t="s">
        <v>29</v>
      </c>
      <c r="S390">
        <v>68.660880275733405</v>
      </c>
      <c r="T390">
        <v>3327.6448326984701</v>
      </c>
      <c r="U390">
        <v>44663.5280030141</v>
      </c>
      <c r="V390" t="s">
        <v>25</v>
      </c>
      <c r="W390" t="s">
        <v>30</v>
      </c>
    </row>
    <row r="391" spans="1:23" x14ac:dyDescent="0.35">
      <c r="A391">
        <v>9922.85143805806</v>
      </c>
      <c r="B391" t="s">
        <v>31</v>
      </c>
      <c r="C391">
        <v>0.164835164835164</v>
      </c>
      <c r="D391" t="s">
        <v>25</v>
      </c>
      <c r="E391" t="s">
        <v>26</v>
      </c>
      <c r="F391">
        <v>33.323784894529901</v>
      </c>
      <c r="G391" t="s">
        <v>26</v>
      </c>
      <c r="H391" t="s">
        <v>25</v>
      </c>
      <c r="I391" t="s">
        <v>27</v>
      </c>
      <c r="J391" t="s">
        <v>36</v>
      </c>
      <c r="K391" t="s">
        <v>25</v>
      </c>
      <c r="L391" t="s">
        <v>26</v>
      </c>
      <c r="M391" t="s">
        <v>26</v>
      </c>
      <c r="N391" t="s">
        <v>25</v>
      </c>
      <c r="O391" t="s">
        <v>26</v>
      </c>
      <c r="P391" t="s">
        <v>32</v>
      </c>
      <c r="Q391" t="s">
        <v>36</v>
      </c>
      <c r="R391" t="s">
        <v>49</v>
      </c>
      <c r="S391">
        <v>68.639472000951599</v>
      </c>
      <c r="T391">
        <v>3325.1724960686902</v>
      </c>
      <c r="U391">
        <v>44663.327780234897</v>
      </c>
      <c r="V391" t="s">
        <v>25</v>
      </c>
      <c r="W391" t="s">
        <v>30</v>
      </c>
    </row>
    <row r="392" spans="1:23" x14ac:dyDescent="0.35">
      <c r="A392">
        <v>9916.5021163308993</v>
      </c>
      <c r="B392" t="s">
        <v>34</v>
      </c>
      <c r="C392">
        <v>0.13736263736263701</v>
      </c>
      <c r="D392" t="s">
        <v>25</v>
      </c>
      <c r="E392" t="s">
        <v>26</v>
      </c>
      <c r="F392">
        <v>33.316064460113402</v>
      </c>
      <c r="G392" t="s">
        <v>26</v>
      </c>
      <c r="H392" t="s">
        <v>47</v>
      </c>
      <c r="I392" t="s">
        <v>27</v>
      </c>
      <c r="J392" t="s">
        <v>37</v>
      </c>
      <c r="K392" t="s">
        <v>37</v>
      </c>
      <c r="L392" t="s">
        <v>38</v>
      </c>
      <c r="M392" t="s">
        <v>25</v>
      </c>
      <c r="N392" t="s">
        <v>25</v>
      </c>
      <c r="O392" t="s">
        <v>36</v>
      </c>
      <c r="P392" t="s">
        <v>32</v>
      </c>
      <c r="Q392" t="s">
        <v>25</v>
      </c>
      <c r="R392" t="s">
        <v>39</v>
      </c>
      <c r="S392">
        <v>68.618063726169893</v>
      </c>
      <c r="T392">
        <v>3322.7001594389199</v>
      </c>
      <c r="U392">
        <v>44663.1275574557</v>
      </c>
      <c r="V392" t="s">
        <v>25</v>
      </c>
      <c r="W392" t="s">
        <v>30</v>
      </c>
    </row>
    <row r="393" spans="1:23" x14ac:dyDescent="0.35">
      <c r="A393">
        <v>9910.1527946037295</v>
      </c>
      <c r="B393" t="s">
        <v>31</v>
      </c>
      <c r="C393">
        <v>0.109890109890109</v>
      </c>
      <c r="D393" t="s">
        <v>25</v>
      </c>
      <c r="E393" t="s">
        <v>26</v>
      </c>
      <c r="F393">
        <v>33.308344025696897</v>
      </c>
      <c r="G393" t="s">
        <v>25</v>
      </c>
      <c r="H393" t="s">
        <v>25</v>
      </c>
      <c r="I393" t="s">
        <v>35</v>
      </c>
      <c r="J393" t="s">
        <v>37</v>
      </c>
      <c r="K393" t="s">
        <v>37</v>
      </c>
      <c r="L393" t="s">
        <v>25</v>
      </c>
      <c r="M393" t="s">
        <v>36</v>
      </c>
      <c r="N393" t="s">
        <v>26</v>
      </c>
      <c r="O393" t="s">
        <v>37</v>
      </c>
      <c r="P393" t="s">
        <v>28</v>
      </c>
      <c r="Q393" t="s">
        <v>25</v>
      </c>
      <c r="R393" t="s">
        <v>43</v>
      </c>
      <c r="S393">
        <v>68.596655451388102</v>
      </c>
      <c r="T393">
        <v>3320.22782280914</v>
      </c>
      <c r="U393">
        <v>44662.927334676599</v>
      </c>
      <c r="V393" t="s">
        <v>25</v>
      </c>
      <c r="W393" t="s">
        <v>30</v>
      </c>
    </row>
    <row r="394" spans="1:23" x14ac:dyDescent="0.35">
      <c r="A394">
        <v>9903.8034728765706</v>
      </c>
      <c r="B394" t="s">
        <v>46</v>
      </c>
      <c r="C394">
        <v>8.2417582417582499E-2</v>
      </c>
      <c r="D394" t="s">
        <v>25</v>
      </c>
      <c r="E394" t="s">
        <v>25</v>
      </c>
      <c r="F394">
        <v>33.300623591280498</v>
      </c>
      <c r="G394" t="s">
        <v>26</v>
      </c>
      <c r="H394" t="s">
        <v>25</v>
      </c>
      <c r="I394" t="s">
        <v>35</v>
      </c>
      <c r="J394" t="s">
        <v>37</v>
      </c>
      <c r="K394" t="s">
        <v>36</v>
      </c>
      <c r="L394" t="s">
        <v>37</v>
      </c>
      <c r="M394" t="s">
        <v>25</v>
      </c>
      <c r="N394" t="s">
        <v>26</v>
      </c>
      <c r="O394" t="s">
        <v>37</v>
      </c>
      <c r="P394" t="s">
        <v>32</v>
      </c>
      <c r="Q394" t="s">
        <v>26</v>
      </c>
      <c r="R394" t="s">
        <v>49</v>
      </c>
      <c r="S394">
        <v>68.575247176606396</v>
      </c>
      <c r="T394">
        <v>3317.7554861793701</v>
      </c>
      <c r="U394">
        <v>44662.727111897402</v>
      </c>
      <c r="V394" t="s">
        <v>25</v>
      </c>
      <c r="W394" t="s">
        <v>30</v>
      </c>
    </row>
    <row r="395" spans="1:23" x14ac:dyDescent="0.35">
      <c r="A395">
        <v>9897.4541511494008</v>
      </c>
      <c r="B395" t="s">
        <v>1</v>
      </c>
      <c r="C395">
        <v>5.49450549450545E-2</v>
      </c>
      <c r="D395" t="s">
        <v>25</v>
      </c>
      <c r="E395" t="s">
        <v>36</v>
      </c>
      <c r="F395">
        <v>33.292903156864</v>
      </c>
      <c r="G395" t="s">
        <v>25</v>
      </c>
      <c r="H395" t="s">
        <v>25</v>
      </c>
      <c r="I395" t="s">
        <v>35</v>
      </c>
      <c r="J395" t="s">
        <v>26</v>
      </c>
      <c r="K395" t="s">
        <v>25</v>
      </c>
      <c r="L395" t="s">
        <v>26</v>
      </c>
      <c r="M395" t="s">
        <v>26</v>
      </c>
      <c r="N395" t="s">
        <v>25</v>
      </c>
      <c r="O395" t="s">
        <v>26</v>
      </c>
      <c r="P395" t="s">
        <v>48</v>
      </c>
      <c r="Q395" t="s">
        <v>26</v>
      </c>
      <c r="R395" t="s">
        <v>44</v>
      </c>
      <c r="S395">
        <v>68.553838901824605</v>
      </c>
      <c r="T395">
        <v>3315.2831495495898</v>
      </c>
      <c r="U395">
        <v>44662.526889118199</v>
      </c>
      <c r="V395" t="s">
        <v>25</v>
      </c>
      <c r="W395" t="s">
        <v>30</v>
      </c>
    </row>
    <row r="396" spans="1:23" x14ac:dyDescent="0.35">
      <c r="A396">
        <v>9891.1048294222401</v>
      </c>
      <c r="B396" t="s">
        <v>31</v>
      </c>
      <c r="C396">
        <v>2.74725274725275E-2</v>
      </c>
      <c r="D396" t="s">
        <v>25</v>
      </c>
      <c r="E396" t="s">
        <v>25</v>
      </c>
      <c r="F396">
        <v>33.285182722447502</v>
      </c>
      <c r="G396" t="s">
        <v>26</v>
      </c>
      <c r="H396" t="s">
        <v>26</v>
      </c>
      <c r="I396" t="s">
        <v>27</v>
      </c>
      <c r="J396" t="s">
        <v>26</v>
      </c>
      <c r="K396" t="s">
        <v>37</v>
      </c>
      <c r="L396" t="s">
        <v>26</v>
      </c>
      <c r="M396" t="s">
        <v>25</v>
      </c>
      <c r="N396" t="s">
        <v>25</v>
      </c>
      <c r="O396" t="s">
        <v>25</v>
      </c>
      <c r="P396" t="s">
        <v>42</v>
      </c>
      <c r="Q396" t="s">
        <v>26</v>
      </c>
      <c r="R396" t="s">
        <v>29</v>
      </c>
      <c r="S396">
        <v>68.532430627042899</v>
      </c>
      <c r="T396">
        <v>3312.8108129198199</v>
      </c>
      <c r="U396">
        <v>44662.326666339097</v>
      </c>
      <c r="V396" t="s">
        <v>25</v>
      </c>
      <c r="W396" t="s">
        <v>30</v>
      </c>
    </row>
    <row r="397" spans="1:23" x14ac:dyDescent="0.35">
      <c r="A397">
        <v>9884.7555076950703</v>
      </c>
      <c r="B397" t="s">
        <v>31</v>
      </c>
      <c r="C397">
        <v>-5.5511151231257797E-16</v>
      </c>
      <c r="D397" t="s">
        <v>26</v>
      </c>
      <c r="E397" t="s">
        <v>25</v>
      </c>
      <c r="F397">
        <v>33.277462288031003</v>
      </c>
      <c r="G397" t="s">
        <v>26</v>
      </c>
      <c r="H397" t="s">
        <v>47</v>
      </c>
      <c r="I397" t="s">
        <v>25</v>
      </c>
      <c r="J397" t="s">
        <v>26</v>
      </c>
      <c r="K397" t="s">
        <v>26</v>
      </c>
      <c r="L397" t="s">
        <v>26</v>
      </c>
      <c r="M397" t="s">
        <v>25</v>
      </c>
      <c r="N397" t="s">
        <v>25</v>
      </c>
      <c r="O397" t="s">
        <v>26</v>
      </c>
      <c r="P397" t="s">
        <v>32</v>
      </c>
      <c r="Q397" t="s">
        <v>26</v>
      </c>
      <c r="R397" t="s">
        <v>29</v>
      </c>
      <c r="S397">
        <v>68.511022352261094</v>
      </c>
      <c r="T397">
        <v>3310.33847629004</v>
      </c>
      <c r="U397">
        <v>44662.126443559901</v>
      </c>
      <c r="V397" t="s">
        <v>26</v>
      </c>
      <c r="W397" t="s">
        <v>50</v>
      </c>
    </row>
    <row r="398" spans="1:23" x14ac:dyDescent="0.35">
      <c r="A398">
        <v>9878.4061859679096</v>
      </c>
      <c r="B398" t="s">
        <v>31</v>
      </c>
      <c r="C398">
        <v>-2.74725274725275E-2</v>
      </c>
      <c r="D398" t="s">
        <v>25</v>
      </c>
      <c r="E398" t="s">
        <v>38</v>
      </c>
      <c r="F398">
        <v>33.269741853614498</v>
      </c>
      <c r="G398" t="s">
        <v>26</v>
      </c>
      <c r="H398" t="s">
        <v>26</v>
      </c>
      <c r="I398" t="s">
        <v>40</v>
      </c>
      <c r="J398" t="s">
        <v>26</v>
      </c>
      <c r="K398" t="s">
        <v>26</v>
      </c>
      <c r="L398" t="s">
        <v>25</v>
      </c>
      <c r="M398" t="s">
        <v>26</v>
      </c>
      <c r="N398" t="s">
        <v>37</v>
      </c>
      <c r="O398" t="s">
        <v>36</v>
      </c>
      <c r="P398" t="s">
        <v>28</v>
      </c>
      <c r="Q398" t="s">
        <v>26</v>
      </c>
      <c r="R398" t="s">
        <v>49</v>
      </c>
      <c r="S398">
        <v>68.489614077479402</v>
      </c>
      <c r="T398">
        <v>3307.8661396602702</v>
      </c>
      <c r="U398">
        <v>44661.926220780697</v>
      </c>
      <c r="V398" t="s">
        <v>25</v>
      </c>
      <c r="W398" t="s">
        <v>30</v>
      </c>
    </row>
    <row r="399" spans="1:23" x14ac:dyDescent="0.35">
      <c r="A399">
        <v>9872.0568642407397</v>
      </c>
      <c r="B399" t="s">
        <v>34</v>
      </c>
      <c r="C399">
        <v>-5.4945054945055499E-2</v>
      </c>
      <c r="D399" t="s">
        <v>26</v>
      </c>
      <c r="E399" t="s">
        <v>25</v>
      </c>
      <c r="F399">
        <v>33.262021419198</v>
      </c>
      <c r="G399" t="s">
        <v>25</v>
      </c>
      <c r="H399" t="s">
        <v>25</v>
      </c>
      <c r="I399" t="s">
        <v>35</v>
      </c>
      <c r="J399" t="s">
        <v>26</v>
      </c>
      <c r="K399" t="s">
        <v>26</v>
      </c>
      <c r="L399" t="s">
        <v>37</v>
      </c>
      <c r="M399" t="s">
        <v>25</v>
      </c>
      <c r="N399" t="s">
        <v>37</v>
      </c>
      <c r="O399" t="s">
        <v>36</v>
      </c>
      <c r="P399" t="s">
        <v>32</v>
      </c>
      <c r="Q399" t="s">
        <v>25</v>
      </c>
      <c r="R399" t="s">
        <v>44</v>
      </c>
      <c r="S399">
        <v>68.468205802697597</v>
      </c>
      <c r="T399">
        <v>3305.3938030304898</v>
      </c>
      <c r="U399">
        <v>44661.725998001501</v>
      </c>
      <c r="V399" t="s">
        <v>25</v>
      </c>
      <c r="W399" t="s">
        <v>30</v>
      </c>
    </row>
    <row r="400" spans="1:23" x14ac:dyDescent="0.35">
      <c r="A400">
        <v>9865.7075425135808</v>
      </c>
      <c r="B400" t="s">
        <v>31</v>
      </c>
      <c r="C400">
        <v>-8.2417582417582499E-2</v>
      </c>
      <c r="D400" t="s">
        <v>25</v>
      </c>
      <c r="E400" t="s">
        <v>26</v>
      </c>
      <c r="F400">
        <v>33.254300984781501</v>
      </c>
      <c r="G400" t="s">
        <v>26</v>
      </c>
      <c r="H400" t="s">
        <v>47</v>
      </c>
      <c r="I400" t="s">
        <v>35</v>
      </c>
      <c r="J400" t="s">
        <v>37</v>
      </c>
      <c r="K400" t="s">
        <v>25</v>
      </c>
      <c r="L400" t="s">
        <v>25</v>
      </c>
      <c r="M400" t="s">
        <v>25</v>
      </c>
      <c r="N400" t="s">
        <v>26</v>
      </c>
      <c r="O400" t="s">
        <v>25</v>
      </c>
      <c r="P400" t="s">
        <v>32</v>
      </c>
      <c r="Q400" t="s">
        <v>26</v>
      </c>
      <c r="R400" t="s">
        <v>29</v>
      </c>
      <c r="S400">
        <v>68.446797527915905</v>
      </c>
      <c r="T400">
        <v>3302.92146640072</v>
      </c>
      <c r="U400">
        <v>44661.525775222399</v>
      </c>
      <c r="V400" t="s">
        <v>25</v>
      </c>
      <c r="W400" t="s">
        <v>30</v>
      </c>
    </row>
    <row r="401" spans="1:23" x14ac:dyDescent="0.35">
      <c r="A401">
        <v>9859.3582207864092</v>
      </c>
      <c r="B401" t="s">
        <v>46</v>
      </c>
      <c r="C401">
        <v>-0.10989010989011</v>
      </c>
      <c r="D401" t="s">
        <v>26</v>
      </c>
      <c r="E401" t="s">
        <v>26</v>
      </c>
      <c r="F401">
        <v>33.246580550365003</v>
      </c>
      <c r="G401" t="s">
        <v>26</v>
      </c>
      <c r="H401" t="s">
        <v>26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26</v>
      </c>
      <c r="O401" t="s">
        <v>25</v>
      </c>
      <c r="P401" t="s">
        <v>28</v>
      </c>
      <c r="Q401" t="s">
        <v>25</v>
      </c>
      <c r="R401" t="s">
        <v>44</v>
      </c>
      <c r="S401">
        <v>68.425389253134099</v>
      </c>
      <c r="T401">
        <v>3300.4491297709501</v>
      </c>
      <c r="U401">
        <v>44661.325552443202</v>
      </c>
      <c r="V401" t="s">
        <v>25</v>
      </c>
      <c r="W401" t="s">
        <v>30</v>
      </c>
    </row>
    <row r="402" spans="1:23" x14ac:dyDescent="0.35">
      <c r="A402">
        <v>9853.0088990592394</v>
      </c>
      <c r="B402" t="s">
        <v>31</v>
      </c>
      <c r="C402">
        <v>-0.13736263736263801</v>
      </c>
      <c r="D402" t="s">
        <v>25</v>
      </c>
      <c r="E402" t="s">
        <v>26</v>
      </c>
      <c r="F402">
        <v>33.238860115948597</v>
      </c>
      <c r="G402" t="s">
        <v>26</v>
      </c>
      <c r="H402" t="s">
        <v>25</v>
      </c>
      <c r="I402" t="s">
        <v>27</v>
      </c>
      <c r="J402" t="s">
        <v>25</v>
      </c>
      <c r="K402" t="s">
        <v>26</v>
      </c>
      <c r="L402" t="s">
        <v>25</v>
      </c>
      <c r="M402" t="s">
        <v>37</v>
      </c>
      <c r="N402" t="s">
        <v>26</v>
      </c>
      <c r="O402" t="s">
        <v>37</v>
      </c>
      <c r="P402" t="s">
        <v>32</v>
      </c>
      <c r="Q402" t="s">
        <v>26</v>
      </c>
      <c r="R402" t="s">
        <v>29</v>
      </c>
      <c r="S402">
        <v>68.403980978352394</v>
      </c>
      <c r="T402">
        <v>3297.9767931411702</v>
      </c>
      <c r="U402">
        <v>44661.125329663999</v>
      </c>
      <c r="V402" t="s">
        <v>25</v>
      </c>
      <c r="W402" t="s">
        <v>30</v>
      </c>
    </row>
    <row r="403" spans="1:23" x14ac:dyDescent="0.35">
      <c r="A403">
        <v>9846.6595773320805</v>
      </c>
      <c r="B403" t="s">
        <v>31</v>
      </c>
      <c r="C403" t="s">
        <v>25</v>
      </c>
      <c r="D403" t="s">
        <v>25</v>
      </c>
      <c r="E403" t="s">
        <v>25</v>
      </c>
      <c r="F403">
        <v>33.231139681532099</v>
      </c>
      <c r="G403" t="s">
        <v>26</v>
      </c>
      <c r="H403" t="s">
        <v>25</v>
      </c>
      <c r="I403" t="s">
        <v>35</v>
      </c>
      <c r="J403" t="s">
        <v>26</v>
      </c>
      <c r="K403" t="s">
        <v>36</v>
      </c>
      <c r="L403" t="s">
        <v>26</v>
      </c>
      <c r="M403" t="s">
        <v>26</v>
      </c>
      <c r="N403" t="s">
        <v>25</v>
      </c>
      <c r="O403" t="s">
        <v>37</v>
      </c>
      <c r="P403" t="s">
        <v>45</v>
      </c>
      <c r="Q403" t="s">
        <v>25</v>
      </c>
      <c r="R403" t="s">
        <v>29</v>
      </c>
      <c r="S403">
        <v>68.382572703570602</v>
      </c>
      <c r="T403">
        <v>3295.5044565113999</v>
      </c>
      <c r="U403">
        <v>44660.925106884897</v>
      </c>
      <c r="V403" t="s">
        <v>25</v>
      </c>
      <c r="W403" t="s">
        <v>30</v>
      </c>
    </row>
    <row r="404" spans="1:23" x14ac:dyDescent="0.35">
      <c r="A404">
        <v>9840.3102556049107</v>
      </c>
      <c r="B404" t="s">
        <v>46</v>
      </c>
      <c r="C404">
        <v>0</v>
      </c>
      <c r="D404" t="s">
        <v>25</v>
      </c>
      <c r="E404" t="s">
        <v>36</v>
      </c>
      <c r="F404">
        <v>33.223419247115601</v>
      </c>
      <c r="G404" t="s">
        <v>26</v>
      </c>
      <c r="H404" t="s">
        <v>38</v>
      </c>
      <c r="I404" t="s">
        <v>40</v>
      </c>
      <c r="J404" t="s">
        <v>37</v>
      </c>
      <c r="K404" t="s">
        <v>26</v>
      </c>
      <c r="L404" t="s">
        <v>25</v>
      </c>
      <c r="M404" t="s">
        <v>25</v>
      </c>
      <c r="N404" t="s">
        <v>26</v>
      </c>
      <c r="O404" t="s">
        <v>26</v>
      </c>
      <c r="P404" t="s">
        <v>28</v>
      </c>
      <c r="Q404" t="s">
        <v>25</v>
      </c>
      <c r="R404" t="s">
        <v>33</v>
      </c>
      <c r="S404">
        <v>68.361164428788797</v>
      </c>
      <c r="T404">
        <v>3293.03211988162</v>
      </c>
      <c r="U404">
        <v>44660.724884105701</v>
      </c>
      <c r="V404" t="s">
        <v>26</v>
      </c>
      <c r="W404" t="s">
        <v>30</v>
      </c>
    </row>
    <row r="405" spans="1:23" x14ac:dyDescent="0.35">
      <c r="A405">
        <v>9833.96093387775</v>
      </c>
      <c r="B405" t="s">
        <v>34</v>
      </c>
      <c r="C405">
        <v>0</v>
      </c>
      <c r="D405" t="s">
        <v>25</v>
      </c>
      <c r="E405" t="s">
        <v>25</v>
      </c>
      <c r="F405">
        <v>33.215698812699102</v>
      </c>
      <c r="G405" t="s">
        <v>25</v>
      </c>
      <c r="H405" t="s">
        <v>25</v>
      </c>
      <c r="I405" t="s">
        <v>27</v>
      </c>
      <c r="J405" t="s">
        <v>25</v>
      </c>
      <c r="K405" t="s">
        <v>37</v>
      </c>
      <c r="L405" t="s">
        <v>26</v>
      </c>
      <c r="M405" t="s">
        <v>25</v>
      </c>
      <c r="N405" t="s">
        <v>26</v>
      </c>
      <c r="O405" t="s">
        <v>37</v>
      </c>
      <c r="P405" t="s">
        <v>45</v>
      </c>
      <c r="Q405" t="s">
        <v>38</v>
      </c>
      <c r="R405" t="s">
        <v>39</v>
      </c>
      <c r="S405">
        <v>68.339756154007105</v>
      </c>
      <c r="T405">
        <v>3290.5597832518501</v>
      </c>
      <c r="U405">
        <v>44660.524661326497</v>
      </c>
      <c r="V405" t="s">
        <v>25</v>
      </c>
      <c r="W405" t="s">
        <v>30</v>
      </c>
    </row>
    <row r="406" spans="1:23" x14ac:dyDescent="0.35">
      <c r="A406">
        <v>9827.6116121505802</v>
      </c>
      <c r="B406" t="s">
        <v>34</v>
      </c>
      <c r="C406">
        <v>0</v>
      </c>
      <c r="D406" t="s">
        <v>25</v>
      </c>
      <c r="E406" t="s">
        <v>25</v>
      </c>
      <c r="F406">
        <v>33.207978378282597</v>
      </c>
      <c r="G406" t="s">
        <v>26</v>
      </c>
      <c r="H406" t="s">
        <v>25</v>
      </c>
      <c r="I406" t="s">
        <v>27</v>
      </c>
      <c r="J406" t="s">
        <v>37</v>
      </c>
      <c r="K406" t="s">
        <v>37</v>
      </c>
      <c r="L406" t="s">
        <v>25</v>
      </c>
      <c r="M406" t="s">
        <v>36</v>
      </c>
      <c r="N406" t="s">
        <v>26</v>
      </c>
      <c r="O406" t="s">
        <v>37</v>
      </c>
      <c r="P406" t="s">
        <v>32</v>
      </c>
      <c r="Q406" t="s">
        <v>26</v>
      </c>
      <c r="R406" t="s">
        <v>39</v>
      </c>
      <c r="S406">
        <v>68.3183478792253</v>
      </c>
      <c r="T406">
        <v>3288.0874466220698</v>
      </c>
      <c r="U406">
        <v>44660.324438547403</v>
      </c>
      <c r="V406" t="s">
        <v>25</v>
      </c>
      <c r="W406" t="s">
        <v>30</v>
      </c>
    </row>
    <row r="407" spans="1:23" x14ac:dyDescent="0.35">
      <c r="A407">
        <v>9821.2622904234195</v>
      </c>
      <c r="B407" t="s">
        <v>34</v>
      </c>
      <c r="C407" t="s">
        <v>25</v>
      </c>
      <c r="D407" t="s">
        <v>25</v>
      </c>
      <c r="E407" t="s">
        <v>38</v>
      </c>
      <c r="F407">
        <v>33.200257943866099</v>
      </c>
      <c r="G407" t="s">
        <v>25</v>
      </c>
      <c r="H407" t="s">
        <v>25</v>
      </c>
      <c r="I407" t="s">
        <v>27</v>
      </c>
      <c r="J407" t="s">
        <v>25</v>
      </c>
      <c r="K407" t="s">
        <v>26</v>
      </c>
      <c r="L407" t="s">
        <v>25</v>
      </c>
      <c r="M407" t="s">
        <v>36</v>
      </c>
      <c r="N407" t="s">
        <v>26</v>
      </c>
      <c r="O407" t="s">
        <v>26</v>
      </c>
      <c r="P407" t="s">
        <v>32</v>
      </c>
      <c r="Q407" t="s">
        <v>25</v>
      </c>
      <c r="R407" t="s">
        <v>33</v>
      </c>
      <c r="S407">
        <v>68.296939604443594</v>
      </c>
      <c r="T407">
        <v>3285.6151099922999</v>
      </c>
      <c r="U407">
        <v>44660.124215768199</v>
      </c>
      <c r="V407" t="s">
        <v>25</v>
      </c>
      <c r="W407" t="s">
        <v>30</v>
      </c>
    </row>
    <row r="408" spans="1:23" x14ac:dyDescent="0.35">
      <c r="A408">
        <v>9814.9129686962497</v>
      </c>
      <c r="B408" t="s">
        <v>34</v>
      </c>
      <c r="C408">
        <v>0</v>
      </c>
      <c r="D408" t="s">
        <v>26</v>
      </c>
      <c r="E408" t="s">
        <v>36</v>
      </c>
      <c r="F408">
        <v>33.1925375094496</v>
      </c>
      <c r="G408" t="s">
        <v>26</v>
      </c>
      <c r="H408" t="s">
        <v>25</v>
      </c>
      <c r="I408" t="s">
        <v>35</v>
      </c>
      <c r="J408" t="s">
        <v>37</v>
      </c>
      <c r="K408" t="s">
        <v>37</v>
      </c>
      <c r="L408" t="s">
        <v>25</v>
      </c>
      <c r="M408" t="s">
        <v>26</v>
      </c>
      <c r="N408" t="s">
        <v>25</v>
      </c>
      <c r="O408" t="s">
        <v>25</v>
      </c>
      <c r="P408" t="s">
        <v>32</v>
      </c>
      <c r="Q408" t="s">
        <v>36</v>
      </c>
      <c r="R408" t="s">
        <v>49</v>
      </c>
      <c r="S408">
        <v>68.275531329661803</v>
      </c>
      <c r="T408">
        <v>3283.1427733625201</v>
      </c>
      <c r="U408">
        <v>44659.923992989003</v>
      </c>
      <c r="V408" t="s">
        <v>25</v>
      </c>
      <c r="W408" t="s">
        <v>30</v>
      </c>
    </row>
    <row r="409" spans="1:23" x14ac:dyDescent="0.35">
      <c r="A409">
        <v>9808.5636469690908</v>
      </c>
      <c r="B409" t="s">
        <v>31</v>
      </c>
      <c r="C409">
        <v>0</v>
      </c>
      <c r="D409" t="s">
        <v>26</v>
      </c>
      <c r="E409" t="s">
        <v>38</v>
      </c>
      <c r="F409">
        <v>33.184817075033202</v>
      </c>
      <c r="G409" t="s">
        <v>26</v>
      </c>
      <c r="H409" t="s">
        <v>25</v>
      </c>
      <c r="I409" t="s">
        <v>27</v>
      </c>
      <c r="J409" t="s">
        <v>25</v>
      </c>
      <c r="K409" t="s">
        <v>37</v>
      </c>
      <c r="L409" t="s">
        <v>25</v>
      </c>
      <c r="M409" t="s">
        <v>37</v>
      </c>
      <c r="N409" t="s">
        <v>36</v>
      </c>
      <c r="O409" t="s">
        <v>25</v>
      </c>
      <c r="P409" t="s">
        <v>28</v>
      </c>
      <c r="Q409" t="s">
        <v>26</v>
      </c>
      <c r="R409" t="s">
        <v>39</v>
      </c>
      <c r="S409">
        <v>68.254123054880097</v>
      </c>
      <c r="T409">
        <v>3280.6704367327502</v>
      </c>
      <c r="U409">
        <v>44659.723770209799</v>
      </c>
      <c r="V409" t="s">
        <v>25</v>
      </c>
      <c r="W409" t="s">
        <v>30</v>
      </c>
    </row>
    <row r="410" spans="1:23" x14ac:dyDescent="0.35">
      <c r="A410">
        <v>9802.2143252419191</v>
      </c>
      <c r="B410" t="s">
        <v>34</v>
      </c>
      <c r="C410">
        <v>0</v>
      </c>
      <c r="D410" t="s">
        <v>25</v>
      </c>
      <c r="E410" t="s">
        <v>25</v>
      </c>
      <c r="F410">
        <v>33.177096640616703</v>
      </c>
      <c r="G410" t="s">
        <v>25</v>
      </c>
      <c r="H410" t="s">
        <v>26</v>
      </c>
      <c r="I410" t="s">
        <v>25</v>
      </c>
      <c r="J410" t="s">
        <v>25</v>
      </c>
      <c r="K410" t="s">
        <v>25</v>
      </c>
      <c r="L410" t="s">
        <v>37</v>
      </c>
      <c r="M410" t="s">
        <v>38</v>
      </c>
      <c r="N410" t="s">
        <v>26</v>
      </c>
      <c r="O410" t="s">
        <v>26</v>
      </c>
      <c r="P410" t="s">
        <v>41</v>
      </c>
      <c r="Q410" t="s">
        <v>26</v>
      </c>
      <c r="R410" t="s">
        <v>33</v>
      </c>
      <c r="S410">
        <v>68.232714780098306</v>
      </c>
      <c r="T410">
        <v>3278.1981001029699</v>
      </c>
      <c r="U410">
        <v>44659.523547430697</v>
      </c>
      <c r="V410" t="s">
        <v>25</v>
      </c>
      <c r="W410" t="s">
        <v>30</v>
      </c>
    </row>
    <row r="411" spans="1:23" x14ac:dyDescent="0.35">
      <c r="A411">
        <v>9795.8650035147493</v>
      </c>
      <c r="B411" t="s">
        <v>34</v>
      </c>
      <c r="C411">
        <v>0</v>
      </c>
      <c r="D411" t="s">
        <v>26</v>
      </c>
      <c r="E411" t="s">
        <v>25</v>
      </c>
      <c r="F411">
        <v>33.169376206200198</v>
      </c>
      <c r="G411" t="s">
        <v>26</v>
      </c>
      <c r="H411" t="s">
        <v>25</v>
      </c>
      <c r="I411" t="s">
        <v>27</v>
      </c>
      <c r="J411" t="s">
        <v>37</v>
      </c>
      <c r="K411" t="s">
        <v>25</v>
      </c>
      <c r="L411" t="s">
        <v>25</v>
      </c>
      <c r="M411" t="s">
        <v>26</v>
      </c>
      <c r="N411" t="s">
        <v>26</v>
      </c>
      <c r="O411" t="s">
        <v>25</v>
      </c>
      <c r="P411" t="s">
        <v>28</v>
      </c>
      <c r="Q411" t="s">
        <v>25</v>
      </c>
      <c r="R411" t="s">
        <v>39</v>
      </c>
      <c r="S411">
        <v>68.2113065053166</v>
      </c>
      <c r="T411">
        <v>3275.7257634732</v>
      </c>
      <c r="U411">
        <v>44659.323324651501</v>
      </c>
      <c r="V411" t="s">
        <v>25</v>
      </c>
      <c r="W411" t="s">
        <v>30</v>
      </c>
    </row>
    <row r="412" spans="1:23" x14ac:dyDescent="0.35">
      <c r="A412">
        <v>9789.5156817875904</v>
      </c>
      <c r="B412" t="s">
        <v>34</v>
      </c>
      <c r="C412">
        <v>0</v>
      </c>
      <c r="D412" t="s">
        <v>26</v>
      </c>
      <c r="E412" t="s">
        <v>26</v>
      </c>
      <c r="F412">
        <v>33.1616557717837</v>
      </c>
      <c r="G412" t="s">
        <v>26</v>
      </c>
      <c r="H412" t="s">
        <v>25</v>
      </c>
      <c r="I412" t="s">
        <v>25</v>
      </c>
      <c r="J412" t="s">
        <v>26</v>
      </c>
      <c r="K412" t="s">
        <v>26</v>
      </c>
      <c r="L412" t="s">
        <v>26</v>
      </c>
      <c r="M412" t="s">
        <v>37</v>
      </c>
      <c r="N412" t="s">
        <v>26</v>
      </c>
      <c r="O412" t="s">
        <v>37</v>
      </c>
      <c r="P412" t="s">
        <v>28</v>
      </c>
      <c r="Q412" t="s">
        <v>25</v>
      </c>
      <c r="R412" t="s">
        <v>39</v>
      </c>
      <c r="S412">
        <v>68.189898230534794</v>
      </c>
      <c r="T412">
        <v>3273.2534268434201</v>
      </c>
      <c r="U412">
        <v>44659.123101872297</v>
      </c>
      <c r="V412" t="s">
        <v>25</v>
      </c>
      <c r="W412" t="s">
        <v>30</v>
      </c>
    </row>
    <row r="413" spans="1:23" x14ac:dyDescent="0.35">
      <c r="A413">
        <v>9783.1663600604297</v>
      </c>
      <c r="B413" t="s">
        <v>31</v>
      </c>
      <c r="C413" t="s">
        <v>25</v>
      </c>
      <c r="D413" t="s">
        <v>26</v>
      </c>
      <c r="E413" t="s">
        <v>25</v>
      </c>
      <c r="F413">
        <v>33.153935337367201</v>
      </c>
      <c r="G413" t="s">
        <v>25</v>
      </c>
      <c r="H413" t="s">
        <v>26</v>
      </c>
      <c r="I413" t="s">
        <v>27</v>
      </c>
      <c r="J413" t="s">
        <v>26</v>
      </c>
      <c r="K413" t="s">
        <v>26</v>
      </c>
      <c r="L413" t="s">
        <v>36</v>
      </c>
      <c r="M413" t="s">
        <v>37</v>
      </c>
      <c r="N413" t="s">
        <v>26</v>
      </c>
      <c r="O413" t="s">
        <v>37</v>
      </c>
      <c r="P413" t="s">
        <v>48</v>
      </c>
      <c r="Q413" t="s">
        <v>38</v>
      </c>
      <c r="R413" t="s">
        <v>39</v>
      </c>
      <c r="S413">
        <v>68.168489955753103</v>
      </c>
      <c r="T413">
        <v>3270.7810902136498</v>
      </c>
      <c r="U413">
        <v>44658.922879093203</v>
      </c>
      <c r="V413" t="s">
        <v>25</v>
      </c>
      <c r="W413" t="s">
        <v>30</v>
      </c>
    </row>
    <row r="414" spans="1:23" x14ac:dyDescent="0.35">
      <c r="A414">
        <v>9776.8170383332599</v>
      </c>
      <c r="B414" t="s">
        <v>31</v>
      </c>
      <c r="C414">
        <v>0.316176470588235</v>
      </c>
      <c r="D414" t="s">
        <v>26</v>
      </c>
      <c r="E414" t="s">
        <v>26</v>
      </c>
      <c r="F414">
        <v>33.146214902950703</v>
      </c>
      <c r="G414" t="s">
        <v>26</v>
      </c>
      <c r="H414" t="s">
        <v>25</v>
      </c>
      <c r="I414" t="s">
        <v>35</v>
      </c>
      <c r="J414" t="s">
        <v>25</v>
      </c>
      <c r="K414" t="s">
        <v>25</v>
      </c>
      <c r="L414" t="s">
        <v>25</v>
      </c>
      <c r="M414" t="s">
        <v>37</v>
      </c>
      <c r="N414" t="s">
        <v>26</v>
      </c>
      <c r="O414" t="s">
        <v>38</v>
      </c>
      <c r="P414" t="s">
        <v>41</v>
      </c>
      <c r="Q414" t="s">
        <v>26</v>
      </c>
      <c r="R414" t="s">
        <v>43</v>
      </c>
      <c r="S414">
        <v>68.147081680971297</v>
      </c>
      <c r="T414">
        <v>3268.3087535838699</v>
      </c>
      <c r="U414">
        <v>44658.722656313999</v>
      </c>
      <c r="V414" t="s">
        <v>25</v>
      </c>
      <c r="W414" t="s">
        <v>30</v>
      </c>
    </row>
    <row r="415" spans="1:23" x14ac:dyDescent="0.35">
      <c r="A415">
        <v>9770.4677166060992</v>
      </c>
      <c r="B415" t="s">
        <v>51</v>
      </c>
      <c r="C415">
        <v>0.31862745098039202</v>
      </c>
      <c r="D415" t="s">
        <v>25</v>
      </c>
      <c r="E415" t="s">
        <v>26</v>
      </c>
      <c r="F415">
        <v>33.138494468534198</v>
      </c>
      <c r="G415" t="s">
        <v>26</v>
      </c>
      <c r="H415" t="s">
        <v>47</v>
      </c>
      <c r="I415" t="s">
        <v>25</v>
      </c>
      <c r="J415" t="s">
        <v>26</v>
      </c>
      <c r="K415" t="s">
        <v>25</v>
      </c>
      <c r="L415" t="s">
        <v>26</v>
      </c>
      <c r="M415" t="s">
        <v>26</v>
      </c>
      <c r="N415" t="s">
        <v>26</v>
      </c>
      <c r="O415" t="s">
        <v>37</v>
      </c>
      <c r="P415" t="s">
        <v>32</v>
      </c>
      <c r="Q415" t="s">
        <v>36</v>
      </c>
      <c r="R415" t="s">
        <v>43</v>
      </c>
      <c r="S415">
        <v>68.125673406189605</v>
      </c>
      <c r="T415">
        <v>3265.8364169541001</v>
      </c>
      <c r="U415">
        <v>44658.522433534803</v>
      </c>
      <c r="V415" t="s">
        <v>25</v>
      </c>
      <c r="W415" t="s">
        <v>30</v>
      </c>
    </row>
    <row r="416" spans="1:23" x14ac:dyDescent="0.35">
      <c r="A416">
        <v>9764.1183948789294</v>
      </c>
      <c r="B416" t="s">
        <v>34</v>
      </c>
      <c r="C416">
        <v>0.32107843137254899</v>
      </c>
      <c r="D416" t="s">
        <v>25</v>
      </c>
      <c r="E416" t="s">
        <v>25</v>
      </c>
      <c r="F416">
        <v>33.1307740341177</v>
      </c>
      <c r="G416" t="s">
        <v>36</v>
      </c>
      <c r="H416" t="s">
        <v>26</v>
      </c>
      <c r="I416" t="s">
        <v>35</v>
      </c>
      <c r="J416" t="s">
        <v>25</v>
      </c>
      <c r="K416" t="s">
        <v>25</v>
      </c>
      <c r="L416" t="s">
        <v>37</v>
      </c>
      <c r="M416" t="s">
        <v>25</v>
      </c>
      <c r="N416" t="s">
        <v>37</v>
      </c>
      <c r="O416" t="s">
        <v>25</v>
      </c>
      <c r="P416" t="s">
        <v>32</v>
      </c>
      <c r="Q416" t="s">
        <v>25</v>
      </c>
      <c r="R416" t="s">
        <v>33</v>
      </c>
      <c r="S416">
        <v>68.1042651314078</v>
      </c>
      <c r="T416">
        <v>3263.3640803243302</v>
      </c>
      <c r="U416">
        <v>44658.322210755701</v>
      </c>
      <c r="V416" t="s">
        <v>25</v>
      </c>
      <c r="W416" t="s">
        <v>30</v>
      </c>
    </row>
    <row r="417" spans="1:23" x14ac:dyDescent="0.35">
      <c r="A417">
        <v>9757.7690731517705</v>
      </c>
      <c r="B417" t="s">
        <v>31</v>
      </c>
      <c r="C417">
        <v>0.32352941176470601</v>
      </c>
      <c r="D417" t="s">
        <v>25</v>
      </c>
      <c r="E417" t="s">
        <v>25</v>
      </c>
      <c r="F417">
        <v>33.123053599701301</v>
      </c>
      <c r="G417" t="s">
        <v>26</v>
      </c>
      <c r="H417" t="s">
        <v>26</v>
      </c>
      <c r="I417" t="s">
        <v>27</v>
      </c>
      <c r="J417" t="s">
        <v>25</v>
      </c>
      <c r="K417" t="s">
        <v>26</v>
      </c>
      <c r="L417" t="s">
        <v>25</v>
      </c>
      <c r="M417" t="s">
        <v>26</v>
      </c>
      <c r="N417" t="s">
        <v>37</v>
      </c>
      <c r="O417" t="s">
        <v>25</v>
      </c>
      <c r="P417" t="s">
        <v>48</v>
      </c>
      <c r="Q417" t="s">
        <v>26</v>
      </c>
      <c r="R417" t="s">
        <v>29</v>
      </c>
      <c r="S417">
        <v>68.082856856626094</v>
      </c>
      <c r="T417">
        <v>3260.8917436945499</v>
      </c>
      <c r="U417">
        <v>44658.121987976498</v>
      </c>
      <c r="V417" t="s">
        <v>25</v>
      </c>
      <c r="W417" t="s">
        <v>30</v>
      </c>
    </row>
    <row r="418" spans="1:23" x14ac:dyDescent="0.35">
      <c r="A418">
        <v>9751.4197514246007</v>
      </c>
      <c r="B418" t="s">
        <v>34</v>
      </c>
      <c r="C418">
        <v>0.32598039215686297</v>
      </c>
      <c r="D418" t="s">
        <v>25</v>
      </c>
      <c r="E418" t="s">
        <v>26</v>
      </c>
      <c r="F418">
        <v>33.115333165284802</v>
      </c>
      <c r="G418" t="s">
        <v>26</v>
      </c>
      <c r="H418" t="s">
        <v>25</v>
      </c>
      <c r="I418" t="s">
        <v>35</v>
      </c>
      <c r="J418" t="s">
        <v>26</v>
      </c>
      <c r="K418" t="s">
        <v>25</v>
      </c>
      <c r="L418" t="s">
        <v>26</v>
      </c>
      <c r="M418" t="s">
        <v>25</v>
      </c>
      <c r="N418" t="s">
        <v>25</v>
      </c>
      <c r="O418" t="s">
        <v>37</v>
      </c>
      <c r="P418" t="s">
        <v>28</v>
      </c>
      <c r="Q418" t="s">
        <v>36</v>
      </c>
      <c r="R418" t="s">
        <v>43</v>
      </c>
      <c r="S418">
        <v>68.061448581844303</v>
      </c>
      <c r="T418">
        <v>3258.41940706478</v>
      </c>
      <c r="U418">
        <v>44657.921765197301</v>
      </c>
      <c r="V418" t="s">
        <v>25</v>
      </c>
      <c r="W418" t="s">
        <v>30</v>
      </c>
    </row>
    <row r="419" spans="1:23" x14ac:dyDescent="0.35">
      <c r="A419">
        <v>9745.07042969744</v>
      </c>
      <c r="B419" t="s">
        <v>34</v>
      </c>
      <c r="C419">
        <v>0.32843137254902</v>
      </c>
      <c r="D419" t="s">
        <v>26</v>
      </c>
      <c r="E419" t="s">
        <v>25</v>
      </c>
      <c r="F419">
        <v>33.107612730868297</v>
      </c>
      <c r="G419" t="s">
        <v>26</v>
      </c>
      <c r="H419" t="s">
        <v>36</v>
      </c>
      <c r="I419" t="s">
        <v>25</v>
      </c>
      <c r="J419" t="s">
        <v>26</v>
      </c>
      <c r="K419" t="s">
        <v>38</v>
      </c>
      <c r="L419" t="s">
        <v>25</v>
      </c>
      <c r="M419" t="s">
        <v>26</v>
      </c>
      <c r="N419" t="s">
        <v>25</v>
      </c>
      <c r="O419" t="s">
        <v>25</v>
      </c>
      <c r="P419" t="s">
        <v>32</v>
      </c>
      <c r="Q419" t="s">
        <v>26</v>
      </c>
      <c r="R419" t="s">
        <v>49</v>
      </c>
      <c r="S419">
        <v>68.040040307062597</v>
      </c>
      <c r="T419">
        <v>3255.9470704350001</v>
      </c>
      <c r="U419">
        <v>44657.721542418098</v>
      </c>
      <c r="V419" t="s">
        <v>25</v>
      </c>
      <c r="W419" t="s">
        <v>30</v>
      </c>
    </row>
    <row r="420" spans="1:23" x14ac:dyDescent="0.35">
      <c r="A420">
        <v>9738.7211079702702</v>
      </c>
      <c r="B420" t="s">
        <v>31</v>
      </c>
      <c r="C420">
        <v>0.33088235294117702</v>
      </c>
      <c r="D420" t="s">
        <v>25</v>
      </c>
      <c r="E420" t="s">
        <v>26</v>
      </c>
      <c r="F420">
        <v>33.099892296451799</v>
      </c>
      <c r="G420" t="s">
        <v>26</v>
      </c>
      <c r="H420" t="s">
        <v>26</v>
      </c>
      <c r="I420" t="s">
        <v>25</v>
      </c>
      <c r="J420" t="s">
        <v>26</v>
      </c>
      <c r="K420" t="s">
        <v>25</v>
      </c>
      <c r="L420" t="s">
        <v>38</v>
      </c>
      <c r="M420" t="s">
        <v>25</v>
      </c>
      <c r="N420" t="s">
        <v>37</v>
      </c>
      <c r="O420" t="s">
        <v>26</v>
      </c>
      <c r="P420" t="s">
        <v>45</v>
      </c>
      <c r="Q420" t="s">
        <v>25</v>
      </c>
      <c r="R420" t="s">
        <v>49</v>
      </c>
      <c r="S420">
        <v>68.018632032280806</v>
      </c>
      <c r="T420">
        <v>3253.4747338052298</v>
      </c>
      <c r="U420">
        <v>44657.521319639003</v>
      </c>
      <c r="V420" t="s">
        <v>25</v>
      </c>
      <c r="W420" t="s">
        <v>30</v>
      </c>
    </row>
    <row r="421" spans="1:23" x14ac:dyDescent="0.35">
      <c r="A421">
        <v>9732.3717862431004</v>
      </c>
      <c r="B421" t="s">
        <v>31</v>
      </c>
      <c r="C421">
        <v>0.33333333333333298</v>
      </c>
      <c r="D421" t="s">
        <v>25</v>
      </c>
      <c r="E421" t="s">
        <v>25</v>
      </c>
      <c r="F421">
        <v>33.0921718620353</v>
      </c>
      <c r="G421" t="s">
        <v>25</v>
      </c>
      <c r="H421" t="s">
        <v>26</v>
      </c>
      <c r="I421" t="s">
        <v>27</v>
      </c>
      <c r="J421" t="s">
        <v>25</v>
      </c>
      <c r="K421" t="s">
        <v>25</v>
      </c>
      <c r="L421" t="s">
        <v>25</v>
      </c>
      <c r="M421" t="s">
        <v>25</v>
      </c>
      <c r="N421" t="s">
        <v>26</v>
      </c>
      <c r="O421" t="s">
        <v>26</v>
      </c>
      <c r="P421" t="s">
        <v>45</v>
      </c>
      <c r="Q421" t="s">
        <v>36</v>
      </c>
      <c r="R421" t="s">
        <v>49</v>
      </c>
      <c r="S421">
        <v>67.997223757499</v>
      </c>
      <c r="T421">
        <v>3251.0023971754499</v>
      </c>
      <c r="U421">
        <v>44657.3210968598</v>
      </c>
      <c r="V421" t="s">
        <v>25</v>
      </c>
      <c r="W421" t="s">
        <v>30</v>
      </c>
    </row>
    <row r="422" spans="1:23" x14ac:dyDescent="0.35">
      <c r="A422">
        <v>9726.0224645159396</v>
      </c>
      <c r="B422" t="s">
        <v>31</v>
      </c>
      <c r="C422">
        <v>0.33578431372549</v>
      </c>
      <c r="D422" t="s">
        <v>26</v>
      </c>
      <c r="E422" t="s">
        <v>25</v>
      </c>
      <c r="F422">
        <v>33.084451427618802</v>
      </c>
      <c r="G422" t="s">
        <v>26</v>
      </c>
      <c r="H422" t="s">
        <v>25</v>
      </c>
      <c r="I422" t="s">
        <v>25</v>
      </c>
      <c r="J422" t="s">
        <v>26</v>
      </c>
      <c r="K422" t="s">
        <v>25</v>
      </c>
      <c r="L422" t="s">
        <v>25</v>
      </c>
      <c r="M422" t="s">
        <v>26</v>
      </c>
      <c r="N422" t="s">
        <v>36</v>
      </c>
      <c r="O422" t="s">
        <v>25</v>
      </c>
      <c r="P422" t="s">
        <v>28</v>
      </c>
      <c r="Q422" t="s">
        <v>25</v>
      </c>
      <c r="R422" t="s">
        <v>39</v>
      </c>
      <c r="S422">
        <v>67.975815482717294</v>
      </c>
      <c r="T422">
        <v>3248.53006054568</v>
      </c>
      <c r="U422">
        <v>44657.120874080603</v>
      </c>
      <c r="V422" t="s">
        <v>25</v>
      </c>
      <c r="W422" t="s">
        <v>30</v>
      </c>
    </row>
    <row r="423" spans="1:23" x14ac:dyDescent="0.35">
      <c r="A423">
        <v>9719.6731427887698</v>
      </c>
      <c r="B423" t="s">
        <v>31</v>
      </c>
      <c r="C423">
        <v>0.33823529411764702</v>
      </c>
      <c r="D423" t="s">
        <v>26</v>
      </c>
      <c r="E423" t="s">
        <v>25</v>
      </c>
      <c r="F423">
        <v>33.076730993202297</v>
      </c>
      <c r="G423" t="s">
        <v>26</v>
      </c>
      <c r="H423" t="s">
        <v>25</v>
      </c>
      <c r="I423" t="s">
        <v>27</v>
      </c>
      <c r="J423" t="s">
        <v>25</v>
      </c>
      <c r="K423" t="s">
        <v>26</v>
      </c>
      <c r="L423" t="s">
        <v>36</v>
      </c>
      <c r="M423" t="s">
        <v>26</v>
      </c>
      <c r="N423" t="s">
        <v>25</v>
      </c>
      <c r="O423" t="s">
        <v>37</v>
      </c>
      <c r="P423" t="s">
        <v>28</v>
      </c>
      <c r="Q423" t="s">
        <v>26</v>
      </c>
      <c r="R423" t="s">
        <v>49</v>
      </c>
      <c r="S423">
        <v>67.954407207935503</v>
      </c>
      <c r="T423">
        <v>3246.0577239159002</v>
      </c>
      <c r="U423">
        <v>44656.920651301501</v>
      </c>
      <c r="V423" t="s">
        <v>25</v>
      </c>
      <c r="W423" t="s">
        <v>30</v>
      </c>
    </row>
    <row r="424" spans="1:23" x14ac:dyDescent="0.35">
      <c r="A424">
        <v>9713.3238210616091</v>
      </c>
      <c r="B424" t="s">
        <v>34</v>
      </c>
      <c r="C424">
        <v>0.34068627450980399</v>
      </c>
      <c r="D424" t="s">
        <v>25</v>
      </c>
      <c r="E424" t="s">
        <v>25</v>
      </c>
      <c r="F424">
        <v>33.069010558785898</v>
      </c>
      <c r="G424" t="s">
        <v>36</v>
      </c>
      <c r="H424" t="s">
        <v>25</v>
      </c>
      <c r="I424" t="s">
        <v>27</v>
      </c>
      <c r="J424" t="s">
        <v>25</v>
      </c>
      <c r="K424" t="s">
        <v>37</v>
      </c>
      <c r="L424" t="s">
        <v>26</v>
      </c>
      <c r="M424" t="s">
        <v>26</v>
      </c>
      <c r="N424" t="s">
        <v>26</v>
      </c>
      <c r="O424" t="s">
        <v>25</v>
      </c>
      <c r="P424" t="s">
        <v>45</v>
      </c>
      <c r="Q424" t="s">
        <v>25</v>
      </c>
      <c r="R424" t="s">
        <v>43</v>
      </c>
      <c r="S424">
        <v>67.932998933153797</v>
      </c>
      <c r="T424">
        <v>3243.5853872861298</v>
      </c>
      <c r="U424">
        <v>44656.720428522298</v>
      </c>
      <c r="V424" t="s">
        <v>25</v>
      </c>
      <c r="W424" t="s">
        <v>30</v>
      </c>
    </row>
    <row r="425" spans="1:23" x14ac:dyDescent="0.35">
      <c r="A425">
        <v>9706.9744993344393</v>
      </c>
      <c r="B425" t="s">
        <v>34</v>
      </c>
      <c r="C425">
        <v>0.34313725490196101</v>
      </c>
      <c r="D425" t="s">
        <v>26</v>
      </c>
      <c r="E425" t="s">
        <v>25</v>
      </c>
      <c r="F425">
        <v>33.0612901243694</v>
      </c>
      <c r="G425" t="s">
        <v>38</v>
      </c>
      <c r="H425" t="s">
        <v>25</v>
      </c>
      <c r="I425" t="s">
        <v>25</v>
      </c>
      <c r="J425" t="s">
        <v>26</v>
      </c>
      <c r="K425" t="s">
        <v>25</v>
      </c>
      <c r="L425" t="s">
        <v>36</v>
      </c>
      <c r="M425" t="s">
        <v>25</v>
      </c>
      <c r="N425" t="s">
        <v>38</v>
      </c>
      <c r="O425" t="s">
        <v>26</v>
      </c>
      <c r="P425" t="s">
        <v>28</v>
      </c>
      <c r="Q425" t="s">
        <v>26</v>
      </c>
      <c r="R425" t="s">
        <v>29</v>
      </c>
      <c r="S425">
        <v>67.911590658372006</v>
      </c>
      <c r="T425">
        <v>3241.11305065635</v>
      </c>
      <c r="U425">
        <v>44656.520205743102</v>
      </c>
      <c r="V425" t="s">
        <v>25</v>
      </c>
      <c r="W425" t="s">
        <v>30</v>
      </c>
    </row>
    <row r="426" spans="1:23" x14ac:dyDescent="0.35">
      <c r="A426">
        <v>9700.6251776072695</v>
      </c>
      <c r="B426" t="s">
        <v>1</v>
      </c>
      <c r="C426">
        <v>0.34558823529411797</v>
      </c>
      <c r="D426" t="s">
        <v>26</v>
      </c>
      <c r="E426" t="s">
        <v>25</v>
      </c>
      <c r="F426">
        <v>33.053569689952901</v>
      </c>
      <c r="G426" t="s">
        <v>26</v>
      </c>
      <c r="H426" t="s">
        <v>26</v>
      </c>
      <c r="I426" t="s">
        <v>27</v>
      </c>
      <c r="J426" t="s">
        <v>37</v>
      </c>
      <c r="K426" t="s">
        <v>25</v>
      </c>
      <c r="L426" t="s">
        <v>25</v>
      </c>
      <c r="M426" t="s">
        <v>25</v>
      </c>
      <c r="N426" t="s">
        <v>37</v>
      </c>
      <c r="O426" t="s">
        <v>25</v>
      </c>
      <c r="P426" t="s">
        <v>32</v>
      </c>
      <c r="Q426" t="s">
        <v>26</v>
      </c>
      <c r="R426" t="s">
        <v>29</v>
      </c>
      <c r="S426">
        <v>67.8901823835903</v>
      </c>
      <c r="T426">
        <v>3238.6407140265801</v>
      </c>
      <c r="U426">
        <v>44656.319982963898</v>
      </c>
      <c r="V426" t="s">
        <v>25</v>
      </c>
      <c r="W426" t="s">
        <v>30</v>
      </c>
    </row>
    <row r="427" spans="1:23" x14ac:dyDescent="0.35">
      <c r="A427">
        <v>9694.2758558801106</v>
      </c>
      <c r="B427" t="s">
        <v>34</v>
      </c>
      <c r="C427">
        <v>0.34803921568627499</v>
      </c>
      <c r="D427" t="s">
        <v>25</v>
      </c>
      <c r="E427" t="s">
        <v>25</v>
      </c>
      <c r="F427">
        <v>33.045849255536403</v>
      </c>
      <c r="G427" t="s">
        <v>26</v>
      </c>
      <c r="H427" t="s">
        <v>47</v>
      </c>
      <c r="I427" t="s">
        <v>35</v>
      </c>
      <c r="J427" t="s">
        <v>26</v>
      </c>
      <c r="K427" t="s">
        <v>26</v>
      </c>
      <c r="L427" t="s">
        <v>26</v>
      </c>
      <c r="M427" t="s">
        <v>37</v>
      </c>
      <c r="N427" t="s">
        <v>26</v>
      </c>
      <c r="O427" t="s">
        <v>26</v>
      </c>
      <c r="P427" t="s">
        <v>32</v>
      </c>
      <c r="Q427" t="s">
        <v>26</v>
      </c>
      <c r="R427" t="s">
        <v>49</v>
      </c>
      <c r="S427">
        <v>67.868774108808495</v>
      </c>
      <c r="T427">
        <v>3236.1683773968002</v>
      </c>
      <c r="U427">
        <v>44656.119760184803</v>
      </c>
      <c r="V427" t="s">
        <v>25</v>
      </c>
      <c r="W427" t="s">
        <v>30</v>
      </c>
    </row>
    <row r="428" spans="1:23" x14ac:dyDescent="0.35">
      <c r="A428">
        <v>9687.9265341529499</v>
      </c>
      <c r="B428" t="s">
        <v>31</v>
      </c>
      <c r="C428">
        <v>0.35049019607843201</v>
      </c>
      <c r="D428" t="s">
        <v>25</v>
      </c>
      <c r="E428" t="s">
        <v>38</v>
      </c>
      <c r="F428">
        <v>33.038128821119898</v>
      </c>
      <c r="G428" t="s">
        <v>26</v>
      </c>
      <c r="H428" t="s">
        <v>47</v>
      </c>
      <c r="I428" t="s">
        <v>25</v>
      </c>
      <c r="J428" t="s">
        <v>25</v>
      </c>
      <c r="K428" t="s">
        <v>25</v>
      </c>
      <c r="L428" t="s">
        <v>37</v>
      </c>
      <c r="M428" t="s">
        <v>37</v>
      </c>
      <c r="N428" t="s">
        <v>37</v>
      </c>
      <c r="O428" t="s">
        <v>37</v>
      </c>
      <c r="P428" t="s">
        <v>32</v>
      </c>
      <c r="Q428" t="s">
        <v>25</v>
      </c>
      <c r="R428" t="s">
        <v>33</v>
      </c>
      <c r="S428">
        <v>67.847365834026803</v>
      </c>
      <c r="T428">
        <v>3233.6960407670299</v>
      </c>
      <c r="U428">
        <v>44655.9195374056</v>
      </c>
      <c r="V428" t="s">
        <v>25</v>
      </c>
      <c r="W428" t="s">
        <v>30</v>
      </c>
    </row>
    <row r="429" spans="1:23" x14ac:dyDescent="0.35">
      <c r="A429">
        <v>9681.5772124257801</v>
      </c>
      <c r="B429" t="s">
        <v>46</v>
      </c>
      <c r="C429">
        <v>0.35294117647058798</v>
      </c>
      <c r="D429" t="s">
        <v>38</v>
      </c>
      <c r="E429" t="s">
        <v>26</v>
      </c>
      <c r="F429">
        <v>33.0304083867034</v>
      </c>
      <c r="G429" t="s">
        <v>26</v>
      </c>
      <c r="H429" t="s">
        <v>25</v>
      </c>
      <c r="I429" t="s">
        <v>25</v>
      </c>
      <c r="J429" t="s">
        <v>25</v>
      </c>
      <c r="K429" t="s">
        <v>38</v>
      </c>
      <c r="L429" t="s">
        <v>25</v>
      </c>
      <c r="M429" t="s">
        <v>25</v>
      </c>
      <c r="N429" t="s">
        <v>25</v>
      </c>
      <c r="O429" t="s">
        <v>25</v>
      </c>
      <c r="P429" t="s">
        <v>32</v>
      </c>
      <c r="Q429" t="s">
        <v>26</v>
      </c>
      <c r="R429" t="s">
        <v>29</v>
      </c>
      <c r="S429">
        <v>67.825957559244998</v>
      </c>
      <c r="T429">
        <v>3231.22370413725</v>
      </c>
      <c r="U429">
        <v>44655.719314626404</v>
      </c>
      <c r="V429" t="s">
        <v>25</v>
      </c>
      <c r="W429" t="s">
        <v>30</v>
      </c>
    </row>
    <row r="430" spans="1:23" x14ac:dyDescent="0.35">
      <c r="A430">
        <v>9675.2278906986194</v>
      </c>
      <c r="B430" t="s">
        <v>31</v>
      </c>
      <c r="C430">
        <v>0.355392156862745</v>
      </c>
      <c r="D430" t="s">
        <v>26</v>
      </c>
      <c r="E430" t="s">
        <v>25</v>
      </c>
      <c r="F430">
        <v>33.022687952286901</v>
      </c>
      <c r="G430" t="s">
        <v>26</v>
      </c>
      <c r="H430" t="s">
        <v>26</v>
      </c>
      <c r="I430" t="s">
        <v>27</v>
      </c>
      <c r="J430" t="s">
        <v>25</v>
      </c>
      <c r="K430" t="s">
        <v>25</v>
      </c>
      <c r="L430" t="s">
        <v>25</v>
      </c>
      <c r="M430" t="s">
        <v>37</v>
      </c>
      <c r="N430" t="s">
        <v>36</v>
      </c>
      <c r="O430" t="s">
        <v>25</v>
      </c>
      <c r="P430" t="s">
        <v>45</v>
      </c>
      <c r="Q430" t="s">
        <v>26</v>
      </c>
      <c r="R430" t="s">
        <v>43</v>
      </c>
      <c r="S430">
        <v>67.804549284463306</v>
      </c>
      <c r="T430">
        <v>3228.7513675074802</v>
      </c>
      <c r="U430">
        <v>44655.519091847302</v>
      </c>
      <c r="V430" t="s">
        <v>25</v>
      </c>
      <c r="W430" t="s">
        <v>30</v>
      </c>
    </row>
    <row r="431" spans="1:23" x14ac:dyDescent="0.35">
      <c r="A431">
        <v>9668.8785689714496</v>
      </c>
      <c r="B431" t="s">
        <v>31</v>
      </c>
      <c r="C431" t="s">
        <v>25</v>
      </c>
      <c r="D431" t="s">
        <v>26</v>
      </c>
      <c r="E431" t="s">
        <v>25</v>
      </c>
      <c r="F431">
        <v>33.014967517870403</v>
      </c>
      <c r="G431" t="s">
        <v>25</v>
      </c>
      <c r="H431" t="s">
        <v>26</v>
      </c>
      <c r="I431" t="s">
        <v>27</v>
      </c>
      <c r="J431" t="s">
        <v>26</v>
      </c>
      <c r="K431" t="s">
        <v>26</v>
      </c>
      <c r="L431" t="s">
        <v>26</v>
      </c>
      <c r="M431" t="s">
        <v>26</v>
      </c>
      <c r="N431" t="s">
        <v>37</v>
      </c>
      <c r="O431" t="s">
        <v>36</v>
      </c>
      <c r="P431" t="s">
        <v>28</v>
      </c>
      <c r="Q431" t="s">
        <v>26</v>
      </c>
      <c r="R431" t="s">
        <v>39</v>
      </c>
      <c r="S431">
        <v>67.783141009681501</v>
      </c>
      <c r="T431">
        <v>3226.2790308777098</v>
      </c>
      <c r="U431">
        <v>44655.318869068098</v>
      </c>
      <c r="V431" t="s">
        <v>25</v>
      </c>
      <c r="W431" t="s">
        <v>30</v>
      </c>
    </row>
    <row r="432" spans="1:23" x14ac:dyDescent="0.35">
      <c r="A432">
        <v>9662.5292472442907</v>
      </c>
      <c r="B432" t="s">
        <v>31</v>
      </c>
      <c r="C432">
        <v>0</v>
      </c>
      <c r="D432" t="s">
        <v>25</v>
      </c>
      <c r="E432" t="s">
        <v>25</v>
      </c>
      <c r="F432">
        <v>33.007247083453997</v>
      </c>
      <c r="G432" t="s">
        <v>25</v>
      </c>
      <c r="H432" t="s">
        <v>26</v>
      </c>
      <c r="I432" t="s">
        <v>25</v>
      </c>
      <c r="J432" t="s">
        <v>38</v>
      </c>
      <c r="K432" t="s">
        <v>26</v>
      </c>
      <c r="L432" t="s">
        <v>25</v>
      </c>
      <c r="M432" t="s">
        <v>25</v>
      </c>
      <c r="N432" t="s">
        <v>25</v>
      </c>
      <c r="O432" t="s">
        <v>25</v>
      </c>
      <c r="P432" t="s">
        <v>32</v>
      </c>
      <c r="Q432" t="s">
        <v>26</v>
      </c>
      <c r="R432" t="s">
        <v>29</v>
      </c>
      <c r="S432">
        <v>67.761732734899795</v>
      </c>
      <c r="T432">
        <v>3223.80669424793</v>
      </c>
      <c r="U432">
        <v>44655.118646288902</v>
      </c>
      <c r="V432" t="s">
        <v>25</v>
      </c>
      <c r="W432" t="s">
        <v>50</v>
      </c>
    </row>
    <row r="433" spans="1:23" x14ac:dyDescent="0.35">
      <c r="A433">
        <v>9656.1799255171209</v>
      </c>
      <c r="B433" t="s">
        <v>51</v>
      </c>
      <c r="C433">
        <v>0</v>
      </c>
      <c r="D433" t="s">
        <v>25</v>
      </c>
      <c r="E433" t="s">
        <v>25</v>
      </c>
      <c r="F433">
        <v>32.999526649037499</v>
      </c>
      <c r="G433" t="s">
        <v>25</v>
      </c>
      <c r="H433" t="s">
        <v>25</v>
      </c>
      <c r="I433" t="s">
        <v>25</v>
      </c>
      <c r="J433" t="s">
        <v>26</v>
      </c>
      <c r="K433" t="s">
        <v>37</v>
      </c>
      <c r="L433" t="s">
        <v>25</v>
      </c>
      <c r="M433" t="s">
        <v>25</v>
      </c>
      <c r="N433" t="s">
        <v>25</v>
      </c>
      <c r="O433" t="s">
        <v>37</v>
      </c>
      <c r="P433" t="s">
        <v>28</v>
      </c>
      <c r="Q433" t="s">
        <v>26</v>
      </c>
      <c r="R433" t="s">
        <v>39</v>
      </c>
      <c r="S433">
        <v>67.740324460118003</v>
      </c>
      <c r="T433">
        <v>3221.3343576181601</v>
      </c>
      <c r="U433">
        <v>44654.9184235098</v>
      </c>
      <c r="V433" t="s">
        <v>25</v>
      </c>
      <c r="W433" t="s">
        <v>30</v>
      </c>
    </row>
    <row r="434" spans="1:23" x14ac:dyDescent="0.35">
      <c r="A434">
        <v>9649.8306037899602</v>
      </c>
      <c r="B434" t="s">
        <v>31</v>
      </c>
      <c r="C434">
        <v>0</v>
      </c>
      <c r="D434" t="s">
        <v>25</v>
      </c>
      <c r="E434" t="s">
        <v>25</v>
      </c>
      <c r="F434">
        <v>32.991806214621</v>
      </c>
      <c r="G434" t="s">
        <v>26</v>
      </c>
      <c r="H434" t="s">
        <v>25</v>
      </c>
      <c r="I434" t="s">
        <v>35</v>
      </c>
      <c r="J434" t="s">
        <v>26</v>
      </c>
      <c r="K434" t="s">
        <v>26</v>
      </c>
      <c r="L434" t="s">
        <v>26</v>
      </c>
      <c r="M434" t="s">
        <v>25</v>
      </c>
      <c r="N434" t="s">
        <v>25</v>
      </c>
      <c r="O434" t="s">
        <v>26</v>
      </c>
      <c r="P434" t="s">
        <v>32</v>
      </c>
      <c r="Q434" t="s">
        <v>36</v>
      </c>
      <c r="R434" t="s">
        <v>29</v>
      </c>
      <c r="S434">
        <v>67.718916185336198</v>
      </c>
      <c r="T434">
        <v>3218.8620209883802</v>
      </c>
      <c r="U434">
        <v>44654.718200730596</v>
      </c>
      <c r="V434" t="s">
        <v>25</v>
      </c>
      <c r="W434" t="s">
        <v>30</v>
      </c>
    </row>
    <row r="435" spans="1:23" x14ac:dyDescent="0.35">
      <c r="A435">
        <v>9643.4812820627794</v>
      </c>
      <c r="B435" t="s">
        <v>51</v>
      </c>
      <c r="C435">
        <v>0</v>
      </c>
      <c r="D435" t="s">
        <v>25</v>
      </c>
      <c r="E435" t="s">
        <v>25</v>
      </c>
      <c r="F435">
        <v>32.984085780204502</v>
      </c>
      <c r="G435" t="s">
        <v>26</v>
      </c>
      <c r="H435" t="s">
        <v>47</v>
      </c>
      <c r="I435" t="s">
        <v>52</v>
      </c>
      <c r="J435" t="s">
        <v>25</v>
      </c>
      <c r="K435" t="s">
        <v>37</v>
      </c>
      <c r="L435" t="s">
        <v>25</v>
      </c>
      <c r="M435" t="s">
        <v>36</v>
      </c>
      <c r="N435" t="s">
        <v>26</v>
      </c>
      <c r="O435" t="s">
        <v>26</v>
      </c>
      <c r="P435" t="s">
        <v>32</v>
      </c>
      <c r="Q435" t="s">
        <v>25</v>
      </c>
      <c r="R435" t="s">
        <v>39</v>
      </c>
      <c r="S435">
        <v>67.697507910554506</v>
      </c>
      <c r="T435">
        <v>3216.3896843586099</v>
      </c>
      <c r="U435">
        <v>44654.5179779514</v>
      </c>
      <c r="V435" t="s">
        <v>26</v>
      </c>
      <c r="W435" t="s">
        <v>30</v>
      </c>
    </row>
    <row r="436" spans="1:23" x14ac:dyDescent="0.35">
      <c r="A436">
        <v>9637.1319603356296</v>
      </c>
      <c r="B436" t="s">
        <v>34</v>
      </c>
      <c r="C436">
        <v>0</v>
      </c>
      <c r="D436" t="s">
        <v>26</v>
      </c>
      <c r="E436" t="s">
        <v>25</v>
      </c>
      <c r="F436">
        <v>32.976365345787997</v>
      </c>
      <c r="G436" t="s">
        <v>26</v>
      </c>
      <c r="H436" t="s">
        <v>47</v>
      </c>
      <c r="I436" t="s">
        <v>27</v>
      </c>
      <c r="J436" t="s">
        <v>37</v>
      </c>
      <c r="K436" t="s">
        <v>37</v>
      </c>
      <c r="L436" t="s">
        <v>25</v>
      </c>
      <c r="M436" t="s">
        <v>37</v>
      </c>
      <c r="N436" t="s">
        <v>36</v>
      </c>
      <c r="O436" t="s">
        <v>37</v>
      </c>
      <c r="P436" t="s">
        <v>28</v>
      </c>
      <c r="Q436" t="s">
        <v>25</v>
      </c>
      <c r="R436" t="s">
        <v>29</v>
      </c>
      <c r="S436">
        <v>67.676099635772701</v>
      </c>
      <c r="T436">
        <v>3213.91734772883</v>
      </c>
      <c r="U436">
        <v>44654.317755172196</v>
      </c>
      <c r="V436" t="s">
        <v>25</v>
      </c>
      <c r="W436" t="s">
        <v>30</v>
      </c>
    </row>
    <row r="437" spans="1:23" x14ac:dyDescent="0.35">
      <c r="A437">
        <v>9630.7826386084598</v>
      </c>
      <c r="B437" t="s">
        <v>0</v>
      </c>
      <c r="C437">
        <v>0</v>
      </c>
      <c r="D437" t="s">
        <v>26</v>
      </c>
      <c r="E437" t="s">
        <v>26</v>
      </c>
      <c r="F437">
        <v>32.968644911371499</v>
      </c>
      <c r="G437" t="s">
        <v>26</v>
      </c>
      <c r="H437" t="s">
        <v>26</v>
      </c>
      <c r="I437" t="s">
        <v>40</v>
      </c>
      <c r="J437" t="s">
        <v>26</v>
      </c>
      <c r="K437" t="s">
        <v>25</v>
      </c>
      <c r="L437" t="s">
        <v>25</v>
      </c>
      <c r="M437" t="s">
        <v>36</v>
      </c>
      <c r="N437" t="s">
        <v>37</v>
      </c>
      <c r="O437" t="s">
        <v>26</v>
      </c>
      <c r="P437" t="s">
        <v>32</v>
      </c>
      <c r="Q437" t="s">
        <v>26</v>
      </c>
      <c r="R437" t="s">
        <v>39</v>
      </c>
      <c r="S437">
        <v>67.654691360990995</v>
      </c>
      <c r="T437">
        <v>3211.4450110990601</v>
      </c>
      <c r="U437">
        <v>44654.117532393102</v>
      </c>
      <c r="V437" t="s">
        <v>25</v>
      </c>
      <c r="W437" t="s">
        <v>30</v>
      </c>
    </row>
    <row r="438" spans="1:23" x14ac:dyDescent="0.35">
      <c r="A438">
        <v>9624.43331688129</v>
      </c>
      <c r="B438" t="s">
        <v>31</v>
      </c>
      <c r="C438">
        <v>0</v>
      </c>
      <c r="D438" t="s">
        <v>26</v>
      </c>
      <c r="E438" t="s">
        <v>25</v>
      </c>
      <c r="F438">
        <v>32.9609244769551</v>
      </c>
      <c r="G438" t="s">
        <v>25</v>
      </c>
      <c r="H438" t="s">
        <v>25</v>
      </c>
      <c r="I438" t="s">
        <v>35</v>
      </c>
      <c r="J438" t="s">
        <v>26</v>
      </c>
      <c r="K438" t="s">
        <v>26</v>
      </c>
      <c r="L438" t="s">
        <v>26</v>
      </c>
      <c r="M438" t="s">
        <v>25</v>
      </c>
      <c r="N438" t="s">
        <v>37</v>
      </c>
      <c r="O438" t="s">
        <v>37</v>
      </c>
      <c r="P438" t="s">
        <v>48</v>
      </c>
      <c r="Q438" t="s">
        <v>26</v>
      </c>
      <c r="R438" t="s">
        <v>33</v>
      </c>
      <c r="S438">
        <v>67.633283086209204</v>
      </c>
      <c r="T438">
        <v>3208.9726744692798</v>
      </c>
      <c r="U438">
        <v>44653.917309613898</v>
      </c>
      <c r="V438" t="s">
        <v>25</v>
      </c>
      <c r="W438" t="s">
        <v>30</v>
      </c>
    </row>
    <row r="439" spans="1:23" x14ac:dyDescent="0.35">
      <c r="A439">
        <v>9618.0839951541293</v>
      </c>
      <c r="B439" t="s">
        <v>31</v>
      </c>
      <c r="C439">
        <v>0</v>
      </c>
      <c r="D439" t="s">
        <v>25</v>
      </c>
      <c r="E439" t="s">
        <v>26</v>
      </c>
      <c r="F439">
        <v>32.953204042538601</v>
      </c>
      <c r="G439" t="s">
        <v>25</v>
      </c>
      <c r="H439" t="s">
        <v>47</v>
      </c>
      <c r="I439" t="s">
        <v>25</v>
      </c>
      <c r="J439" t="s">
        <v>37</v>
      </c>
      <c r="K439" t="s">
        <v>37</v>
      </c>
      <c r="L439" t="s">
        <v>37</v>
      </c>
      <c r="M439" t="s">
        <v>37</v>
      </c>
      <c r="N439" t="s">
        <v>37</v>
      </c>
      <c r="O439" t="s">
        <v>25</v>
      </c>
      <c r="P439" t="s">
        <v>45</v>
      </c>
      <c r="Q439" t="s">
        <v>26</v>
      </c>
      <c r="R439" t="s">
        <v>39</v>
      </c>
      <c r="S439">
        <v>67.611874811427498</v>
      </c>
      <c r="T439">
        <v>3206.5003378395099</v>
      </c>
      <c r="U439">
        <v>44653.717086834702</v>
      </c>
      <c r="V439" t="s">
        <v>25</v>
      </c>
      <c r="W439" t="s">
        <v>30</v>
      </c>
    </row>
    <row r="440" spans="1:23" x14ac:dyDescent="0.35">
      <c r="A440">
        <v>9611.7346734269595</v>
      </c>
      <c r="B440" t="s">
        <v>46</v>
      </c>
      <c r="C440" t="s">
        <v>26</v>
      </c>
      <c r="D440" t="s">
        <v>25</v>
      </c>
      <c r="E440" t="s">
        <v>25</v>
      </c>
      <c r="F440">
        <v>32.945483608122103</v>
      </c>
      <c r="G440" t="s">
        <v>26</v>
      </c>
      <c r="H440" t="s">
        <v>26</v>
      </c>
      <c r="I440" t="s">
        <v>27</v>
      </c>
      <c r="J440" t="s">
        <v>25</v>
      </c>
      <c r="K440" t="s">
        <v>37</v>
      </c>
      <c r="L440" t="s">
        <v>25</v>
      </c>
      <c r="M440" t="s">
        <v>25</v>
      </c>
      <c r="N440" t="s">
        <v>37</v>
      </c>
      <c r="O440" t="s">
        <v>26</v>
      </c>
      <c r="P440" t="s">
        <v>32</v>
      </c>
      <c r="Q440" t="s">
        <v>25</v>
      </c>
      <c r="R440" t="s">
        <v>33</v>
      </c>
      <c r="S440">
        <v>67.590466536645707</v>
      </c>
      <c r="T440">
        <v>3204.0280012097301</v>
      </c>
      <c r="U440">
        <v>44653.5168640556</v>
      </c>
      <c r="V440" t="s">
        <v>25</v>
      </c>
      <c r="W440" t="s">
        <v>30</v>
      </c>
    </row>
    <row r="441" spans="1:23" x14ac:dyDescent="0.35">
      <c r="A441">
        <v>9605.3853516998006</v>
      </c>
      <c r="B441" t="s">
        <v>34</v>
      </c>
      <c r="C441">
        <v>0</v>
      </c>
      <c r="D441" t="s">
        <v>25</v>
      </c>
      <c r="E441" t="s">
        <v>26</v>
      </c>
      <c r="F441">
        <v>32.937763173705598</v>
      </c>
      <c r="G441" t="s">
        <v>26</v>
      </c>
      <c r="H441" t="s">
        <v>26</v>
      </c>
      <c r="I441" t="s">
        <v>40</v>
      </c>
      <c r="J441" t="s">
        <v>25</v>
      </c>
      <c r="K441" t="s">
        <v>36</v>
      </c>
      <c r="L441" t="s">
        <v>26</v>
      </c>
      <c r="M441" t="s">
        <v>25</v>
      </c>
      <c r="N441" t="s">
        <v>26</v>
      </c>
      <c r="O441" t="s">
        <v>26</v>
      </c>
      <c r="P441" t="s">
        <v>32</v>
      </c>
      <c r="Q441" t="s">
        <v>25</v>
      </c>
      <c r="R441" t="s">
        <v>29</v>
      </c>
      <c r="S441">
        <v>67.569058261864001</v>
      </c>
      <c r="T441">
        <v>3201.5556645799602</v>
      </c>
      <c r="U441">
        <v>44653.316641276397</v>
      </c>
      <c r="V441" t="s">
        <v>26</v>
      </c>
      <c r="W441" t="s">
        <v>30</v>
      </c>
    </row>
    <row r="442" spans="1:23" x14ac:dyDescent="0.35">
      <c r="A442">
        <v>9599.0360299726308</v>
      </c>
      <c r="B442" t="s">
        <v>46</v>
      </c>
      <c r="C442">
        <v>0</v>
      </c>
      <c r="D442" t="s">
        <v>26</v>
      </c>
      <c r="E442" t="s">
        <v>25</v>
      </c>
      <c r="F442">
        <v>32.9300427392891</v>
      </c>
      <c r="G442" t="s">
        <v>26</v>
      </c>
      <c r="H442" t="s">
        <v>26</v>
      </c>
      <c r="I442" t="s">
        <v>35</v>
      </c>
      <c r="J442" t="s">
        <v>25</v>
      </c>
      <c r="K442" t="s">
        <v>26</v>
      </c>
      <c r="L442" t="s">
        <v>26</v>
      </c>
      <c r="M442" t="s">
        <v>25</v>
      </c>
      <c r="N442" t="s">
        <v>25</v>
      </c>
      <c r="O442" t="s">
        <v>25</v>
      </c>
      <c r="P442" t="s">
        <v>45</v>
      </c>
      <c r="Q442" t="s">
        <v>25</v>
      </c>
      <c r="R442" t="s">
        <v>39</v>
      </c>
      <c r="S442">
        <v>67.547649987082195</v>
      </c>
      <c r="T442">
        <v>3199.0833279501799</v>
      </c>
      <c r="U442">
        <v>44653.1164184972</v>
      </c>
      <c r="V442" t="s">
        <v>25</v>
      </c>
      <c r="W442" t="s">
        <v>30</v>
      </c>
    </row>
    <row r="443" spans="1:23" x14ac:dyDescent="0.35">
      <c r="A443">
        <v>9592.6867082454701</v>
      </c>
      <c r="B443" t="s">
        <v>31</v>
      </c>
      <c r="C443" t="s">
        <v>25</v>
      </c>
      <c r="D443" t="s">
        <v>26</v>
      </c>
      <c r="E443" t="s">
        <v>26</v>
      </c>
      <c r="F443">
        <v>32.922322304872601</v>
      </c>
      <c r="G443" t="s">
        <v>26</v>
      </c>
      <c r="H443" t="s">
        <v>25</v>
      </c>
      <c r="I443" t="s">
        <v>52</v>
      </c>
      <c r="J443" t="s">
        <v>38</v>
      </c>
      <c r="K443" t="s">
        <v>26</v>
      </c>
      <c r="L443" t="s">
        <v>25</v>
      </c>
      <c r="M443" t="s">
        <v>37</v>
      </c>
      <c r="N443" t="s">
        <v>25</v>
      </c>
      <c r="O443" t="s">
        <v>26</v>
      </c>
      <c r="P443" t="s">
        <v>32</v>
      </c>
      <c r="Q443" t="s">
        <v>26</v>
      </c>
      <c r="R443" t="s">
        <v>49</v>
      </c>
      <c r="S443">
        <v>67.526241712300504</v>
      </c>
      <c r="T443">
        <v>3196.61099132041</v>
      </c>
      <c r="U443">
        <v>44652.916195718099</v>
      </c>
      <c r="V443" t="s">
        <v>25</v>
      </c>
      <c r="W443" t="s">
        <v>30</v>
      </c>
    </row>
    <row r="444" spans="1:23" x14ac:dyDescent="0.35">
      <c r="A444">
        <v>9586.3373865182893</v>
      </c>
      <c r="B444" t="s">
        <v>34</v>
      </c>
      <c r="C444">
        <v>8.0882352941176502E-2</v>
      </c>
      <c r="D444" t="s">
        <v>25</v>
      </c>
      <c r="E444" t="s">
        <v>25</v>
      </c>
      <c r="F444">
        <v>32.914601870456103</v>
      </c>
      <c r="G444" t="s">
        <v>26</v>
      </c>
      <c r="H444" t="s">
        <v>47</v>
      </c>
      <c r="I444" t="s">
        <v>27</v>
      </c>
      <c r="J444" t="s">
        <v>25</v>
      </c>
      <c r="K444" t="s">
        <v>37</v>
      </c>
      <c r="L444" t="s">
        <v>26</v>
      </c>
      <c r="M444" t="s">
        <v>37</v>
      </c>
      <c r="N444" t="s">
        <v>26</v>
      </c>
      <c r="O444" t="s">
        <v>37</v>
      </c>
      <c r="P444" t="s">
        <v>32</v>
      </c>
      <c r="Q444" t="s">
        <v>25</v>
      </c>
      <c r="R444" t="s">
        <v>39</v>
      </c>
      <c r="S444">
        <v>67.504833437518698</v>
      </c>
      <c r="T444">
        <v>3194.1386546906301</v>
      </c>
      <c r="U444">
        <v>44652.715972938902</v>
      </c>
      <c r="V444" t="s">
        <v>25</v>
      </c>
      <c r="W444" t="s">
        <v>30</v>
      </c>
    </row>
    <row r="445" spans="1:23" x14ac:dyDescent="0.35">
      <c r="A445">
        <v>9579.9880647911395</v>
      </c>
      <c r="B445" t="s">
        <v>34</v>
      </c>
      <c r="C445">
        <v>8.3333333333333398E-2</v>
      </c>
      <c r="D445" t="s">
        <v>25</v>
      </c>
      <c r="E445" t="s">
        <v>26</v>
      </c>
      <c r="F445">
        <v>32.906881436039598</v>
      </c>
      <c r="G445" t="s">
        <v>25</v>
      </c>
      <c r="H445" t="s">
        <v>47</v>
      </c>
      <c r="I445" t="s">
        <v>40</v>
      </c>
      <c r="J445" t="s">
        <v>37</v>
      </c>
      <c r="K445" t="s">
        <v>25</v>
      </c>
      <c r="L445" t="s">
        <v>37</v>
      </c>
      <c r="M445" t="s">
        <v>26</v>
      </c>
      <c r="N445" t="s">
        <v>38</v>
      </c>
      <c r="O445" t="s">
        <v>25</v>
      </c>
      <c r="P445" t="s">
        <v>32</v>
      </c>
      <c r="Q445" t="s">
        <v>26</v>
      </c>
      <c r="R445" t="s">
        <v>49</v>
      </c>
      <c r="S445">
        <v>67.483425162736907</v>
      </c>
      <c r="T445">
        <v>3191.6663180608598</v>
      </c>
      <c r="U445">
        <v>44652.515750159699</v>
      </c>
      <c r="V445" t="s">
        <v>25</v>
      </c>
      <c r="W445" t="s">
        <v>30</v>
      </c>
    </row>
    <row r="446" spans="1:23" x14ac:dyDescent="0.35">
      <c r="A446">
        <v>9573.6387430639697</v>
      </c>
      <c r="B446" t="s">
        <v>31</v>
      </c>
      <c r="C446">
        <v>8.5784313725490197E-2</v>
      </c>
      <c r="D446" t="s">
        <v>26</v>
      </c>
      <c r="E446" t="s">
        <v>25</v>
      </c>
      <c r="F446">
        <v>32.899161001623099</v>
      </c>
      <c r="G446" t="s">
        <v>26</v>
      </c>
      <c r="H446" t="s">
        <v>25</v>
      </c>
      <c r="I446" t="s">
        <v>40</v>
      </c>
      <c r="J446" t="s">
        <v>26</v>
      </c>
      <c r="K446" t="s">
        <v>25</v>
      </c>
      <c r="L446" t="s">
        <v>37</v>
      </c>
      <c r="M446" t="s">
        <v>26</v>
      </c>
      <c r="N446" t="s">
        <v>36</v>
      </c>
      <c r="O446" t="s">
        <v>25</v>
      </c>
      <c r="P446" t="s">
        <v>41</v>
      </c>
      <c r="Q446" t="s">
        <v>25</v>
      </c>
      <c r="R446" t="s">
        <v>39</v>
      </c>
      <c r="S446">
        <v>67.462016887955201</v>
      </c>
      <c r="T446">
        <v>3189.1939814310799</v>
      </c>
      <c r="U446">
        <v>44652.315527380502</v>
      </c>
      <c r="V446" t="s">
        <v>25</v>
      </c>
      <c r="W446" t="s">
        <v>30</v>
      </c>
    </row>
    <row r="447" spans="1:23" x14ac:dyDescent="0.35">
      <c r="A447">
        <v>9567.2894213368108</v>
      </c>
      <c r="B447" t="s">
        <v>31</v>
      </c>
      <c r="C447">
        <v>8.8235294117647106E-2</v>
      </c>
      <c r="D447" t="s">
        <v>26</v>
      </c>
      <c r="E447" t="s">
        <v>25</v>
      </c>
      <c r="F447">
        <v>32.891440567206701</v>
      </c>
      <c r="G447" t="s">
        <v>26</v>
      </c>
      <c r="H447" t="s">
        <v>26</v>
      </c>
      <c r="I447" t="s">
        <v>27</v>
      </c>
      <c r="J447" t="s">
        <v>37</v>
      </c>
      <c r="K447" t="s">
        <v>37</v>
      </c>
      <c r="L447" t="s">
        <v>37</v>
      </c>
      <c r="M447" t="s">
        <v>25</v>
      </c>
      <c r="N447" t="s">
        <v>26</v>
      </c>
      <c r="O447" t="s">
        <v>37</v>
      </c>
      <c r="P447" t="s">
        <v>32</v>
      </c>
      <c r="Q447" t="s">
        <v>26</v>
      </c>
      <c r="R447" t="s">
        <v>44</v>
      </c>
      <c r="S447">
        <v>67.440608613173495</v>
      </c>
      <c r="T447">
        <v>3186.72164480131</v>
      </c>
      <c r="U447">
        <v>44652.115304601401</v>
      </c>
      <c r="V447" t="s">
        <v>25</v>
      </c>
      <c r="W447" t="s">
        <v>30</v>
      </c>
    </row>
    <row r="448" spans="1:23" x14ac:dyDescent="0.35">
      <c r="A448">
        <v>9560.9400996096392</v>
      </c>
      <c r="B448" t="s">
        <v>31</v>
      </c>
      <c r="C448">
        <v>9.0686274509804002E-2</v>
      </c>
      <c r="D448" t="s">
        <v>25</v>
      </c>
      <c r="E448" t="s">
        <v>25</v>
      </c>
      <c r="F448">
        <v>32.883720132790202</v>
      </c>
      <c r="G448" t="s">
        <v>25</v>
      </c>
      <c r="H448" t="s">
        <v>26</v>
      </c>
      <c r="I448" t="s">
        <v>27</v>
      </c>
      <c r="J448" t="s">
        <v>38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28</v>
      </c>
      <c r="Q448" t="s">
        <v>26</v>
      </c>
      <c r="R448" t="s">
        <v>29</v>
      </c>
      <c r="S448">
        <v>67.419200338391704</v>
      </c>
      <c r="T448">
        <v>3184.2493081715402</v>
      </c>
      <c r="U448">
        <v>44651.915081822197</v>
      </c>
      <c r="V448" t="s">
        <v>25</v>
      </c>
      <c r="W448" t="s">
        <v>30</v>
      </c>
    </row>
    <row r="449" spans="1:23" x14ac:dyDescent="0.35">
      <c r="A449">
        <v>9554.5907778824803</v>
      </c>
      <c r="B449" t="s">
        <v>31</v>
      </c>
      <c r="C449">
        <v>9.31372549019608E-2</v>
      </c>
      <c r="D449" t="s">
        <v>26</v>
      </c>
      <c r="E449" t="s">
        <v>26</v>
      </c>
      <c r="F449">
        <v>32.875999698373697</v>
      </c>
      <c r="G449" t="s">
        <v>36</v>
      </c>
      <c r="H449" t="s">
        <v>25</v>
      </c>
      <c r="I449" t="s">
        <v>52</v>
      </c>
      <c r="J449" t="s">
        <v>36</v>
      </c>
      <c r="K449" t="s">
        <v>25</v>
      </c>
      <c r="L449" t="s">
        <v>26</v>
      </c>
      <c r="M449" t="s">
        <v>25</v>
      </c>
      <c r="N449" t="s">
        <v>25</v>
      </c>
      <c r="O449" t="s">
        <v>25</v>
      </c>
      <c r="P449" t="s">
        <v>45</v>
      </c>
      <c r="Q449" t="s">
        <v>26</v>
      </c>
      <c r="R449" t="s">
        <v>39</v>
      </c>
      <c r="S449">
        <v>67.397792063609899</v>
      </c>
      <c r="T449">
        <v>3181.7769715417598</v>
      </c>
      <c r="U449">
        <v>44651.714859043001</v>
      </c>
      <c r="V449" t="s">
        <v>25</v>
      </c>
      <c r="W449" t="s">
        <v>30</v>
      </c>
    </row>
    <row r="450" spans="1:23" x14ac:dyDescent="0.35">
      <c r="A450">
        <v>9548.2414561553105</v>
      </c>
      <c r="B450" t="s">
        <v>31</v>
      </c>
      <c r="C450">
        <v>9.5588235294117696E-2</v>
      </c>
      <c r="D450" t="s">
        <v>25</v>
      </c>
      <c r="E450" t="s">
        <v>25</v>
      </c>
      <c r="F450">
        <v>32.868279263957199</v>
      </c>
      <c r="G450" t="s">
        <v>26</v>
      </c>
      <c r="H450" t="s">
        <v>26</v>
      </c>
      <c r="I450" t="s">
        <v>52</v>
      </c>
      <c r="J450" t="s">
        <v>37</v>
      </c>
      <c r="K450" t="s">
        <v>37</v>
      </c>
      <c r="L450" t="s">
        <v>25</v>
      </c>
      <c r="M450" t="s">
        <v>37</v>
      </c>
      <c r="N450" t="s">
        <v>26</v>
      </c>
      <c r="O450" t="s">
        <v>37</v>
      </c>
      <c r="P450" t="s">
        <v>32</v>
      </c>
      <c r="Q450" t="s">
        <v>25</v>
      </c>
      <c r="R450" t="s">
        <v>44</v>
      </c>
      <c r="S450">
        <v>67.376383788828207</v>
      </c>
      <c r="T450">
        <v>3179.30463491199</v>
      </c>
      <c r="U450">
        <v>44651.514636263899</v>
      </c>
      <c r="V450" t="s">
        <v>25</v>
      </c>
      <c r="W450" t="s">
        <v>30</v>
      </c>
    </row>
    <row r="451" spans="1:23" x14ac:dyDescent="0.35">
      <c r="A451">
        <v>9541.8921344281498</v>
      </c>
      <c r="B451" t="s">
        <v>34</v>
      </c>
      <c r="C451">
        <v>9.8039215686274495E-2</v>
      </c>
      <c r="D451" t="s">
        <v>26</v>
      </c>
      <c r="E451" t="s">
        <v>26</v>
      </c>
      <c r="F451">
        <v>32.8605588295407</v>
      </c>
      <c r="G451" t="s">
        <v>26</v>
      </c>
      <c r="H451" t="s">
        <v>47</v>
      </c>
      <c r="I451" t="s">
        <v>27</v>
      </c>
      <c r="J451" t="s">
        <v>26</v>
      </c>
      <c r="K451" t="s">
        <v>25</v>
      </c>
      <c r="L451" t="s">
        <v>25</v>
      </c>
      <c r="M451" t="s">
        <v>26</v>
      </c>
      <c r="N451" t="s">
        <v>36</v>
      </c>
      <c r="O451" t="s">
        <v>26</v>
      </c>
      <c r="P451" t="s">
        <v>45</v>
      </c>
      <c r="Q451" t="s">
        <v>26</v>
      </c>
      <c r="R451" t="s">
        <v>39</v>
      </c>
      <c r="S451">
        <v>67.354975514046401</v>
      </c>
      <c r="T451">
        <v>3176.8322982822101</v>
      </c>
      <c r="U451">
        <v>44651.314413484703</v>
      </c>
      <c r="V451" t="s">
        <v>25</v>
      </c>
      <c r="W451" t="s">
        <v>50</v>
      </c>
    </row>
    <row r="452" spans="1:23" x14ac:dyDescent="0.35">
      <c r="A452">
        <v>9535.54281270098</v>
      </c>
      <c r="B452" t="s">
        <v>31</v>
      </c>
      <c r="C452">
        <v>0.100490196078431</v>
      </c>
      <c r="D452" t="s">
        <v>26</v>
      </c>
      <c r="E452" t="s">
        <v>25</v>
      </c>
      <c r="F452">
        <v>32.852838395124202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25</v>
      </c>
      <c r="M452" t="s">
        <v>26</v>
      </c>
      <c r="N452" t="s">
        <v>25</v>
      </c>
      <c r="O452" t="s">
        <v>26</v>
      </c>
      <c r="P452" t="s">
        <v>32</v>
      </c>
      <c r="Q452" t="s">
        <v>26</v>
      </c>
      <c r="R452" t="s">
        <v>49</v>
      </c>
      <c r="S452">
        <v>67.333567239264696</v>
      </c>
      <c r="T452">
        <v>3174.3599616524398</v>
      </c>
      <c r="U452">
        <v>44651.114190705499</v>
      </c>
      <c r="V452" t="s">
        <v>25</v>
      </c>
      <c r="W452" t="s">
        <v>30</v>
      </c>
    </row>
    <row r="453" spans="1:23" x14ac:dyDescent="0.35">
      <c r="A453">
        <v>9529.1934909737993</v>
      </c>
      <c r="B453" t="s">
        <v>31</v>
      </c>
      <c r="C453">
        <v>0.10294117647058799</v>
      </c>
      <c r="D453" t="s">
        <v>26</v>
      </c>
      <c r="E453" t="s">
        <v>25</v>
      </c>
      <c r="F453">
        <v>32.845117960707697</v>
      </c>
      <c r="G453" t="s">
        <v>26</v>
      </c>
      <c r="H453" t="s">
        <v>25</v>
      </c>
      <c r="I453" t="s">
        <v>27</v>
      </c>
      <c r="J453" t="s">
        <v>38</v>
      </c>
      <c r="K453" t="s">
        <v>25</v>
      </c>
      <c r="L453" t="s">
        <v>26</v>
      </c>
      <c r="M453" t="s">
        <v>25</v>
      </c>
      <c r="N453" t="s">
        <v>38</v>
      </c>
      <c r="O453" t="s">
        <v>26</v>
      </c>
      <c r="P453" t="s">
        <v>32</v>
      </c>
      <c r="Q453" t="s">
        <v>25</v>
      </c>
      <c r="R453" t="s">
        <v>39</v>
      </c>
      <c r="S453">
        <v>67.312158964482904</v>
      </c>
      <c r="T453">
        <v>3171.8876250226599</v>
      </c>
      <c r="U453">
        <v>44650.913967926397</v>
      </c>
      <c r="V453" t="s">
        <v>25</v>
      </c>
      <c r="W453" t="s">
        <v>30</v>
      </c>
    </row>
    <row r="454" spans="1:23" x14ac:dyDescent="0.35">
      <c r="A454">
        <v>9522.8441692466495</v>
      </c>
      <c r="B454" t="s">
        <v>31</v>
      </c>
      <c r="C454">
        <v>0.105392156862745</v>
      </c>
      <c r="D454" t="s">
        <v>26</v>
      </c>
      <c r="E454" t="s">
        <v>25</v>
      </c>
      <c r="F454">
        <v>32.837397526291298</v>
      </c>
      <c r="G454" t="s">
        <v>26</v>
      </c>
      <c r="H454" t="s">
        <v>25</v>
      </c>
      <c r="I454" t="s">
        <v>25</v>
      </c>
      <c r="J454" t="s">
        <v>25</v>
      </c>
      <c r="K454" t="s">
        <v>36</v>
      </c>
      <c r="L454" t="s">
        <v>25</v>
      </c>
      <c r="M454" t="s">
        <v>37</v>
      </c>
      <c r="N454" t="s">
        <v>25</v>
      </c>
      <c r="O454" t="s">
        <v>37</v>
      </c>
      <c r="P454" t="s">
        <v>28</v>
      </c>
      <c r="Q454" t="s">
        <v>26</v>
      </c>
      <c r="R454" t="s">
        <v>49</v>
      </c>
      <c r="S454">
        <v>67.290750689701198</v>
      </c>
      <c r="T454">
        <v>3169.41528839289</v>
      </c>
      <c r="U454">
        <v>44650.713745147201</v>
      </c>
      <c r="V454" t="s">
        <v>25</v>
      </c>
      <c r="W454" t="s">
        <v>30</v>
      </c>
    </row>
    <row r="455" spans="1:23" x14ac:dyDescent="0.35">
      <c r="A455">
        <v>9516.4948475194797</v>
      </c>
      <c r="B455" t="s">
        <v>1</v>
      </c>
      <c r="C455">
        <v>0.10784313725490199</v>
      </c>
      <c r="D455" t="s">
        <v>25</v>
      </c>
      <c r="E455" t="s">
        <v>25</v>
      </c>
      <c r="F455">
        <v>32.8296770918748</v>
      </c>
      <c r="G455" t="s">
        <v>26</v>
      </c>
      <c r="H455" t="s">
        <v>26</v>
      </c>
      <c r="I455" t="s">
        <v>25</v>
      </c>
      <c r="J455" t="s">
        <v>26</v>
      </c>
      <c r="K455" t="s">
        <v>26</v>
      </c>
      <c r="L455" t="s">
        <v>26</v>
      </c>
      <c r="M455" t="s">
        <v>37</v>
      </c>
      <c r="N455" t="s">
        <v>25</v>
      </c>
      <c r="O455" t="s">
        <v>26</v>
      </c>
      <c r="P455" t="s">
        <v>28</v>
      </c>
      <c r="Q455" t="s">
        <v>26</v>
      </c>
      <c r="R455" t="s">
        <v>49</v>
      </c>
      <c r="S455">
        <v>67.269342414919393</v>
      </c>
      <c r="T455">
        <v>3166.9429517631102</v>
      </c>
      <c r="U455">
        <v>44650.513522367997</v>
      </c>
      <c r="V455" t="s">
        <v>25</v>
      </c>
      <c r="W455" t="s">
        <v>50</v>
      </c>
    </row>
    <row r="456" spans="1:23" x14ac:dyDescent="0.35">
      <c r="A456">
        <v>9510.1455257923208</v>
      </c>
      <c r="B456" t="s">
        <v>34</v>
      </c>
      <c r="C456">
        <v>0.110294117647059</v>
      </c>
      <c r="D456" t="s">
        <v>26</v>
      </c>
      <c r="E456" t="s">
        <v>25</v>
      </c>
      <c r="F456">
        <v>32.821956657458301</v>
      </c>
      <c r="G456" t="s">
        <v>25</v>
      </c>
      <c r="H456" t="s">
        <v>38</v>
      </c>
      <c r="I456" t="s">
        <v>35</v>
      </c>
      <c r="J456" t="s">
        <v>26</v>
      </c>
      <c r="K456" t="s">
        <v>25</v>
      </c>
      <c r="L456" t="s">
        <v>25</v>
      </c>
      <c r="M456" t="s">
        <v>26</v>
      </c>
      <c r="N456" t="s">
        <v>26</v>
      </c>
      <c r="O456" t="s">
        <v>38</v>
      </c>
      <c r="P456" t="s">
        <v>32</v>
      </c>
      <c r="Q456" t="s">
        <v>25</v>
      </c>
      <c r="R456" t="s">
        <v>33</v>
      </c>
      <c r="S456">
        <v>67.247934140137701</v>
      </c>
      <c r="T456">
        <v>3164.4706151333398</v>
      </c>
      <c r="U456">
        <v>44650.313299588801</v>
      </c>
      <c r="V456" t="s">
        <v>25</v>
      </c>
      <c r="W456" t="s">
        <v>30</v>
      </c>
    </row>
    <row r="457" spans="1:23" x14ac:dyDescent="0.35">
      <c r="A457">
        <v>9503.7962040651491</v>
      </c>
      <c r="B457" t="s">
        <v>34</v>
      </c>
      <c r="C457">
        <v>0.11274509803921599</v>
      </c>
      <c r="D457" t="s">
        <v>26</v>
      </c>
      <c r="E457" t="s">
        <v>25</v>
      </c>
      <c r="F457">
        <v>32.814236223041803</v>
      </c>
      <c r="G457" t="s">
        <v>26</v>
      </c>
      <c r="H457" t="s">
        <v>36</v>
      </c>
      <c r="I457" t="s">
        <v>35</v>
      </c>
      <c r="J457" t="s">
        <v>25</v>
      </c>
      <c r="K457" t="s">
        <v>26</v>
      </c>
      <c r="L457" t="s">
        <v>25</v>
      </c>
      <c r="M457" t="s">
        <v>25</v>
      </c>
      <c r="N457" t="s">
        <v>37</v>
      </c>
      <c r="O457" t="s">
        <v>37</v>
      </c>
      <c r="P457" t="s">
        <v>32</v>
      </c>
      <c r="Q457" t="s">
        <v>26</v>
      </c>
      <c r="R457" t="s">
        <v>33</v>
      </c>
      <c r="S457">
        <v>67.226525865355896</v>
      </c>
      <c r="T457">
        <v>3161.99827850356</v>
      </c>
      <c r="U457">
        <v>44650.113076809699</v>
      </c>
      <c r="V457" t="s">
        <v>25</v>
      </c>
      <c r="W457" t="s">
        <v>30</v>
      </c>
    </row>
    <row r="458" spans="1:23" x14ac:dyDescent="0.35">
      <c r="A458">
        <v>9497.4468823379902</v>
      </c>
      <c r="B458" t="s">
        <v>34</v>
      </c>
      <c r="C458">
        <v>0.115196078431373</v>
      </c>
      <c r="D458" t="s">
        <v>25</v>
      </c>
      <c r="E458" t="s">
        <v>25</v>
      </c>
      <c r="F458">
        <v>32.806515788625298</v>
      </c>
      <c r="G458" t="s">
        <v>36</v>
      </c>
      <c r="H458" t="s">
        <v>26</v>
      </c>
      <c r="I458" t="s">
        <v>27</v>
      </c>
      <c r="J458" t="s">
        <v>25</v>
      </c>
      <c r="K458" t="s">
        <v>36</v>
      </c>
      <c r="L458" t="s">
        <v>25</v>
      </c>
      <c r="M458" t="s">
        <v>37</v>
      </c>
      <c r="N458" t="s">
        <v>26</v>
      </c>
      <c r="O458" t="s">
        <v>25</v>
      </c>
      <c r="P458" t="s">
        <v>45</v>
      </c>
      <c r="Q458" t="s">
        <v>25</v>
      </c>
      <c r="R458" t="s">
        <v>49</v>
      </c>
      <c r="S458">
        <v>67.205117590574204</v>
      </c>
      <c r="T458">
        <v>3159.5259418737901</v>
      </c>
      <c r="U458">
        <v>44649.912854030503</v>
      </c>
      <c r="V458" t="s">
        <v>25</v>
      </c>
      <c r="W458" t="s">
        <v>30</v>
      </c>
    </row>
    <row r="459" spans="1:23" x14ac:dyDescent="0.35">
      <c r="A459">
        <v>9491.0975606108095</v>
      </c>
      <c r="B459" t="s">
        <v>34</v>
      </c>
      <c r="C459">
        <v>0.11764705882352899</v>
      </c>
      <c r="D459" t="s">
        <v>25</v>
      </c>
      <c r="E459" t="s">
        <v>26</v>
      </c>
      <c r="F459">
        <v>32.798795354208799</v>
      </c>
      <c r="G459" t="s">
        <v>26</v>
      </c>
      <c r="H459" t="s">
        <v>26</v>
      </c>
      <c r="I459" t="s">
        <v>25</v>
      </c>
      <c r="J459" t="s">
        <v>36</v>
      </c>
      <c r="K459" t="s">
        <v>25</v>
      </c>
      <c r="L459" t="s">
        <v>37</v>
      </c>
      <c r="M459" t="s">
        <v>38</v>
      </c>
      <c r="N459" t="s">
        <v>25</v>
      </c>
      <c r="O459" t="s">
        <v>26</v>
      </c>
      <c r="P459" t="s">
        <v>32</v>
      </c>
      <c r="Q459" t="s">
        <v>26</v>
      </c>
      <c r="R459" t="s">
        <v>29</v>
      </c>
      <c r="S459">
        <v>67.183709315792399</v>
      </c>
      <c r="T459">
        <v>3157.0536052440102</v>
      </c>
      <c r="U459">
        <v>44649.712631251299</v>
      </c>
      <c r="V459" t="s">
        <v>25</v>
      </c>
      <c r="W459" t="s">
        <v>30</v>
      </c>
    </row>
    <row r="460" spans="1:23" x14ac:dyDescent="0.35">
      <c r="A460">
        <v>9484.7482388836597</v>
      </c>
      <c r="B460" t="s">
        <v>31</v>
      </c>
      <c r="C460">
        <v>0.120098039215686</v>
      </c>
      <c r="D460" t="s">
        <v>25</v>
      </c>
      <c r="E460" t="s">
        <v>25</v>
      </c>
      <c r="F460">
        <v>32.791074919792301</v>
      </c>
      <c r="G460" t="s">
        <v>26</v>
      </c>
      <c r="H460" t="s">
        <v>26</v>
      </c>
      <c r="I460" t="s">
        <v>25</v>
      </c>
      <c r="J460" t="s">
        <v>25</v>
      </c>
      <c r="K460" t="s">
        <v>26</v>
      </c>
      <c r="L460" t="s">
        <v>37</v>
      </c>
      <c r="M460" t="s">
        <v>25</v>
      </c>
      <c r="N460" t="s">
        <v>37</v>
      </c>
      <c r="O460" t="s">
        <v>37</v>
      </c>
      <c r="P460" t="s">
        <v>32</v>
      </c>
      <c r="Q460" t="s">
        <v>26</v>
      </c>
      <c r="R460" t="s">
        <v>43</v>
      </c>
      <c r="S460">
        <v>67.162301041010707</v>
      </c>
      <c r="T460">
        <v>3154.5812686142399</v>
      </c>
      <c r="U460">
        <v>44649.512408472197</v>
      </c>
      <c r="V460" t="s">
        <v>25</v>
      </c>
      <c r="W460" t="s">
        <v>30</v>
      </c>
    </row>
    <row r="461" spans="1:23" x14ac:dyDescent="0.35">
      <c r="A461">
        <v>9478.3989171564899</v>
      </c>
      <c r="B461" t="s">
        <v>46</v>
      </c>
      <c r="C461" t="s">
        <v>25</v>
      </c>
      <c r="D461" t="s">
        <v>25</v>
      </c>
      <c r="E461" t="s">
        <v>25</v>
      </c>
      <c r="F461">
        <v>32.783354485375902</v>
      </c>
      <c r="G461" t="s">
        <v>26</v>
      </c>
      <c r="H461" t="s">
        <v>25</v>
      </c>
      <c r="I461" t="s">
        <v>40</v>
      </c>
      <c r="J461" t="s">
        <v>26</v>
      </c>
      <c r="K461" t="s">
        <v>25</v>
      </c>
      <c r="L461" t="s">
        <v>37</v>
      </c>
      <c r="M461" t="s">
        <v>36</v>
      </c>
      <c r="N461" t="s">
        <v>26</v>
      </c>
      <c r="O461" t="s">
        <v>26</v>
      </c>
      <c r="P461" t="s">
        <v>41</v>
      </c>
      <c r="Q461" t="s">
        <v>25</v>
      </c>
      <c r="R461" t="s">
        <v>29</v>
      </c>
      <c r="S461">
        <v>67.140892766228902</v>
      </c>
      <c r="T461">
        <v>3152.10893198446</v>
      </c>
      <c r="U461">
        <v>44649.312185693001</v>
      </c>
      <c r="V461" t="s">
        <v>25</v>
      </c>
      <c r="W461" t="s">
        <v>30</v>
      </c>
    </row>
    <row r="462" spans="1:23" x14ac:dyDescent="0.35">
      <c r="A462">
        <v>9472.0495954293292</v>
      </c>
      <c r="B462" t="s">
        <v>51</v>
      </c>
      <c r="C462">
        <v>7.2727272727272696E-2</v>
      </c>
      <c r="D462" t="s">
        <v>36</v>
      </c>
      <c r="E462" t="s">
        <v>38</v>
      </c>
      <c r="F462">
        <v>32.775634050959397</v>
      </c>
      <c r="G462" t="s">
        <v>26</v>
      </c>
      <c r="H462" t="s">
        <v>26</v>
      </c>
      <c r="I462" t="s">
        <v>27</v>
      </c>
      <c r="J462" t="s">
        <v>26</v>
      </c>
      <c r="K462" t="s">
        <v>37</v>
      </c>
      <c r="L462" t="s">
        <v>37</v>
      </c>
      <c r="M462" t="s">
        <v>25</v>
      </c>
      <c r="N462" t="s">
        <v>26</v>
      </c>
      <c r="O462" t="s">
        <v>26</v>
      </c>
      <c r="P462" t="s">
        <v>28</v>
      </c>
      <c r="Q462" t="s">
        <v>38</v>
      </c>
      <c r="R462" t="s">
        <v>39</v>
      </c>
      <c r="S462">
        <v>67.119484491447096</v>
      </c>
      <c r="T462">
        <v>3149.6365953546901</v>
      </c>
      <c r="U462">
        <v>44649.111962913797</v>
      </c>
      <c r="V462" t="s">
        <v>25</v>
      </c>
      <c r="W462" t="s">
        <v>30</v>
      </c>
    </row>
    <row r="463" spans="1:23" x14ac:dyDescent="0.35">
      <c r="A463">
        <v>9465.7002737021594</v>
      </c>
      <c r="B463" t="s">
        <v>31</v>
      </c>
      <c r="C463">
        <v>5.4545454545454702E-2</v>
      </c>
      <c r="D463" t="s">
        <v>26</v>
      </c>
      <c r="E463" t="s">
        <v>26</v>
      </c>
      <c r="F463">
        <v>32.767913616542899</v>
      </c>
      <c r="G463" t="s">
        <v>26</v>
      </c>
      <c r="H463" t="s">
        <v>26</v>
      </c>
      <c r="I463" t="s">
        <v>35</v>
      </c>
      <c r="J463" t="s">
        <v>25</v>
      </c>
      <c r="K463" t="s">
        <v>25</v>
      </c>
      <c r="L463" t="s">
        <v>26</v>
      </c>
      <c r="M463" t="s">
        <v>36</v>
      </c>
      <c r="N463" t="s">
        <v>26</v>
      </c>
      <c r="O463" t="s">
        <v>25</v>
      </c>
      <c r="P463" t="s">
        <v>32</v>
      </c>
      <c r="Q463" t="s">
        <v>26</v>
      </c>
      <c r="R463" t="s">
        <v>33</v>
      </c>
      <c r="S463">
        <v>67.098076216665405</v>
      </c>
      <c r="T463">
        <v>3147.1642587249098</v>
      </c>
      <c r="U463">
        <v>44648.911740134703</v>
      </c>
      <c r="V463" t="s">
        <v>25</v>
      </c>
      <c r="W463" t="s">
        <v>30</v>
      </c>
    </row>
    <row r="464" spans="1:23" x14ac:dyDescent="0.35">
      <c r="A464">
        <v>9459.3509519750005</v>
      </c>
      <c r="B464" t="s">
        <v>31</v>
      </c>
      <c r="C464">
        <v>3.6363636363636702E-2</v>
      </c>
      <c r="D464" t="s">
        <v>25</v>
      </c>
      <c r="E464" t="s">
        <v>25</v>
      </c>
      <c r="F464">
        <v>32.7601931821264</v>
      </c>
      <c r="G464" t="s">
        <v>38</v>
      </c>
      <c r="H464" t="s">
        <v>36</v>
      </c>
      <c r="I464" t="s">
        <v>35</v>
      </c>
      <c r="J464" t="s">
        <v>26</v>
      </c>
      <c r="K464" t="s">
        <v>37</v>
      </c>
      <c r="L464" t="s">
        <v>26</v>
      </c>
      <c r="M464" t="s">
        <v>25</v>
      </c>
      <c r="N464" t="s">
        <v>26</v>
      </c>
      <c r="O464" t="s">
        <v>26</v>
      </c>
      <c r="P464" t="s">
        <v>41</v>
      </c>
      <c r="Q464" t="s">
        <v>25</v>
      </c>
      <c r="R464" t="s">
        <v>29</v>
      </c>
      <c r="S464">
        <v>67.076667941883599</v>
      </c>
      <c r="T464">
        <v>3144.6919220951399</v>
      </c>
      <c r="U464">
        <v>44648.711517355499</v>
      </c>
      <c r="V464" t="s">
        <v>25</v>
      </c>
      <c r="W464" t="s">
        <v>30</v>
      </c>
    </row>
    <row r="465" spans="1:23" x14ac:dyDescent="0.35">
      <c r="A465">
        <v>9453.0016302478307</v>
      </c>
      <c r="B465" t="s">
        <v>31</v>
      </c>
      <c r="C465">
        <v>1.8181818181817699E-2</v>
      </c>
      <c r="D465" t="s">
        <v>25</v>
      </c>
      <c r="E465" t="s">
        <v>26</v>
      </c>
      <c r="F465">
        <v>32.752472747709902</v>
      </c>
      <c r="G465" t="s">
        <v>26</v>
      </c>
      <c r="H465" t="s">
        <v>38</v>
      </c>
      <c r="I465" t="s">
        <v>27</v>
      </c>
      <c r="J465" t="s">
        <v>26</v>
      </c>
      <c r="K465" t="s">
        <v>38</v>
      </c>
      <c r="L465" t="s">
        <v>26</v>
      </c>
      <c r="M465" t="s">
        <v>37</v>
      </c>
      <c r="N465" t="s">
        <v>25</v>
      </c>
      <c r="O465" t="s">
        <v>37</v>
      </c>
      <c r="P465" t="s">
        <v>28</v>
      </c>
      <c r="Q465" t="s">
        <v>26</v>
      </c>
      <c r="R465" t="s">
        <v>39</v>
      </c>
      <c r="S465">
        <v>67.055259667101893</v>
      </c>
      <c r="T465">
        <v>3142.2195854653701</v>
      </c>
      <c r="U465">
        <v>44648.511294576303</v>
      </c>
      <c r="V465" t="s">
        <v>25</v>
      </c>
      <c r="W465" t="s">
        <v>30</v>
      </c>
    </row>
    <row r="466" spans="1:23" x14ac:dyDescent="0.35">
      <c r="A466">
        <v>9446.65230852067</v>
      </c>
      <c r="B466" t="s">
        <v>31</v>
      </c>
      <c r="C466">
        <v>-2.7755575615628899E-16</v>
      </c>
      <c r="D466" t="s">
        <v>25</v>
      </c>
      <c r="E466" t="s">
        <v>26</v>
      </c>
      <c r="F466">
        <v>32.744752313293397</v>
      </c>
      <c r="G466" t="s">
        <v>26</v>
      </c>
      <c r="H466" t="s">
        <v>26</v>
      </c>
      <c r="I466" t="s">
        <v>27</v>
      </c>
      <c r="J466" t="s">
        <v>25</v>
      </c>
      <c r="K466" t="s">
        <v>26</v>
      </c>
      <c r="L466" t="s">
        <v>26</v>
      </c>
      <c r="M466" t="s">
        <v>25</v>
      </c>
      <c r="N466" t="s">
        <v>38</v>
      </c>
      <c r="O466" t="s">
        <v>37</v>
      </c>
      <c r="P466" t="s">
        <v>48</v>
      </c>
      <c r="Q466" t="s">
        <v>26</v>
      </c>
      <c r="R466" t="s">
        <v>43</v>
      </c>
      <c r="S466">
        <v>67.033851392320102</v>
      </c>
      <c r="T466">
        <v>3139.7472488355902</v>
      </c>
      <c r="U466">
        <v>44648.311071797099</v>
      </c>
      <c r="V466" t="s">
        <v>25</v>
      </c>
      <c r="W466" t="s">
        <v>30</v>
      </c>
    </row>
    <row r="467" spans="1:23" x14ac:dyDescent="0.35">
      <c r="A467">
        <v>9440.3029867935002</v>
      </c>
      <c r="B467" t="s">
        <v>34</v>
      </c>
      <c r="C467">
        <v>-1.8181818181818299E-2</v>
      </c>
      <c r="D467" t="s">
        <v>25</v>
      </c>
      <c r="E467" t="s">
        <v>25</v>
      </c>
      <c r="F467">
        <v>32.737031878876898</v>
      </c>
      <c r="G467" t="s">
        <v>26</v>
      </c>
      <c r="H467" t="s">
        <v>25</v>
      </c>
      <c r="I467" t="s">
        <v>35</v>
      </c>
      <c r="J467" t="s">
        <v>26</v>
      </c>
      <c r="K467" t="s">
        <v>26</v>
      </c>
      <c r="L467" t="s">
        <v>37</v>
      </c>
      <c r="M467" t="s">
        <v>37</v>
      </c>
      <c r="N467" t="s">
        <v>25</v>
      </c>
      <c r="O467" t="s">
        <v>26</v>
      </c>
      <c r="P467" t="s">
        <v>41</v>
      </c>
      <c r="Q467" t="s">
        <v>26</v>
      </c>
      <c r="R467" t="s">
        <v>33</v>
      </c>
      <c r="S467">
        <v>67.012443117538396</v>
      </c>
      <c r="T467">
        <v>3137.2749122058199</v>
      </c>
      <c r="U467">
        <v>44648.110849017998</v>
      </c>
      <c r="V467" t="s">
        <v>25</v>
      </c>
      <c r="W467" t="s">
        <v>30</v>
      </c>
    </row>
    <row r="468" spans="1:23" x14ac:dyDescent="0.35">
      <c r="A468">
        <v>9433.9536650663395</v>
      </c>
      <c r="B468" t="s">
        <v>34</v>
      </c>
      <c r="C468">
        <v>-3.6363636363636299E-2</v>
      </c>
      <c r="D468" t="s">
        <v>26</v>
      </c>
      <c r="E468" t="s">
        <v>25</v>
      </c>
      <c r="F468">
        <v>32.7293114444604</v>
      </c>
      <c r="G468" t="s">
        <v>26</v>
      </c>
      <c r="H468" t="s">
        <v>26</v>
      </c>
      <c r="I468" t="s">
        <v>27</v>
      </c>
      <c r="J468" t="s">
        <v>25</v>
      </c>
      <c r="K468" t="s">
        <v>25</v>
      </c>
      <c r="L468" t="s">
        <v>26</v>
      </c>
      <c r="M468" t="s">
        <v>37</v>
      </c>
      <c r="N468" t="s">
        <v>25</v>
      </c>
      <c r="O468" t="s">
        <v>26</v>
      </c>
      <c r="P468" t="s">
        <v>32</v>
      </c>
      <c r="Q468" t="s">
        <v>26</v>
      </c>
      <c r="R468" t="s">
        <v>33</v>
      </c>
      <c r="S468">
        <v>66.991034842756605</v>
      </c>
      <c r="T468">
        <v>3134.80257557604</v>
      </c>
      <c r="U468">
        <v>44647.910626238801</v>
      </c>
      <c r="V468" t="s">
        <v>26</v>
      </c>
      <c r="W468" t="s">
        <v>30</v>
      </c>
    </row>
    <row r="469" spans="1:23" x14ac:dyDescent="0.35">
      <c r="A469">
        <v>9427.6043433391696</v>
      </c>
      <c r="B469" t="s">
        <v>0</v>
      </c>
      <c r="C469">
        <v>-5.45454545454543E-2</v>
      </c>
      <c r="D469" t="s">
        <v>26</v>
      </c>
      <c r="E469" t="s">
        <v>25</v>
      </c>
      <c r="F469">
        <v>32.721591010044001</v>
      </c>
      <c r="G469" t="s">
        <v>26</v>
      </c>
      <c r="H469" t="s">
        <v>47</v>
      </c>
      <c r="I469" t="s">
        <v>27</v>
      </c>
      <c r="J469" t="s">
        <v>25</v>
      </c>
      <c r="K469" t="s">
        <v>25</v>
      </c>
      <c r="L469" t="s">
        <v>25</v>
      </c>
      <c r="M469" t="s">
        <v>26</v>
      </c>
      <c r="N469" t="s">
        <v>37</v>
      </c>
      <c r="O469" t="s">
        <v>25</v>
      </c>
      <c r="P469" t="s">
        <v>32</v>
      </c>
      <c r="Q469" t="s">
        <v>26</v>
      </c>
      <c r="R469" t="s">
        <v>33</v>
      </c>
      <c r="S469">
        <v>66.969626567974899</v>
      </c>
      <c r="T469">
        <v>3132.3302389462701</v>
      </c>
      <c r="U469">
        <v>44647.710403459598</v>
      </c>
      <c r="V469" t="s">
        <v>25</v>
      </c>
      <c r="W469" t="s">
        <v>30</v>
      </c>
    </row>
    <row r="470" spans="1:23" x14ac:dyDescent="0.35">
      <c r="A470">
        <v>9421.2550216119998</v>
      </c>
      <c r="B470" t="s">
        <v>31</v>
      </c>
      <c r="C470">
        <v>-7.2727272727273307E-2</v>
      </c>
      <c r="D470" t="s">
        <v>26</v>
      </c>
      <c r="E470" t="s">
        <v>26</v>
      </c>
      <c r="F470">
        <v>32.713870575627503</v>
      </c>
      <c r="G470" t="s">
        <v>26</v>
      </c>
      <c r="H470" t="s">
        <v>47</v>
      </c>
      <c r="I470" t="s">
        <v>27</v>
      </c>
      <c r="J470" t="s">
        <v>37</v>
      </c>
      <c r="K470" t="s">
        <v>25</v>
      </c>
      <c r="L470" t="s">
        <v>25</v>
      </c>
      <c r="M470" t="s">
        <v>37</v>
      </c>
      <c r="N470" t="s">
        <v>26</v>
      </c>
      <c r="O470" t="s">
        <v>25</v>
      </c>
      <c r="P470" t="s">
        <v>28</v>
      </c>
      <c r="Q470" t="s">
        <v>25</v>
      </c>
      <c r="R470" t="s">
        <v>49</v>
      </c>
      <c r="S470">
        <v>66.948218293193094</v>
      </c>
      <c r="T470">
        <v>3129.8579023164898</v>
      </c>
      <c r="U470">
        <v>44647.510180680503</v>
      </c>
      <c r="V470" t="s">
        <v>25</v>
      </c>
      <c r="W470" t="s">
        <v>30</v>
      </c>
    </row>
    <row r="471" spans="1:23" x14ac:dyDescent="0.35">
      <c r="A471">
        <v>9414.9056998848391</v>
      </c>
      <c r="B471" t="s">
        <v>34</v>
      </c>
      <c r="C471">
        <v>-9.09090909090913E-2</v>
      </c>
      <c r="D471" t="s">
        <v>26</v>
      </c>
      <c r="E471" t="s">
        <v>25</v>
      </c>
      <c r="F471">
        <v>32.706150141210998</v>
      </c>
      <c r="G471" t="s">
        <v>25</v>
      </c>
      <c r="H471" t="s">
        <v>26</v>
      </c>
      <c r="I471" t="s">
        <v>27</v>
      </c>
      <c r="J471" t="s">
        <v>25</v>
      </c>
      <c r="K471" t="s">
        <v>26</v>
      </c>
      <c r="L471" t="s">
        <v>26</v>
      </c>
      <c r="M471" t="s">
        <v>26</v>
      </c>
      <c r="N471" t="s">
        <v>37</v>
      </c>
      <c r="O471" t="s">
        <v>26</v>
      </c>
      <c r="P471" t="s">
        <v>32</v>
      </c>
      <c r="Q471" t="s">
        <v>38</v>
      </c>
      <c r="R471" t="s">
        <v>29</v>
      </c>
      <c r="S471">
        <v>66.926810018411402</v>
      </c>
      <c r="T471">
        <v>3127.3855656867199</v>
      </c>
      <c r="U471">
        <v>44647.3099579013</v>
      </c>
      <c r="V471" t="s">
        <v>25</v>
      </c>
      <c r="W471" t="s">
        <v>30</v>
      </c>
    </row>
    <row r="472" spans="1:23" x14ac:dyDescent="0.35">
      <c r="A472">
        <v>9408.5563781576693</v>
      </c>
      <c r="B472" t="s">
        <v>51</v>
      </c>
      <c r="C472">
        <v>-0.109090909090909</v>
      </c>
      <c r="D472" t="s">
        <v>38</v>
      </c>
      <c r="E472" t="s">
        <v>25</v>
      </c>
      <c r="F472">
        <v>32.698429706794499</v>
      </c>
      <c r="G472" t="s">
        <v>26</v>
      </c>
      <c r="H472" t="s">
        <v>26</v>
      </c>
      <c r="I472" t="s">
        <v>27</v>
      </c>
      <c r="J472" t="s">
        <v>26</v>
      </c>
      <c r="K472" t="s">
        <v>26</v>
      </c>
      <c r="L472" t="s">
        <v>26</v>
      </c>
      <c r="M472" t="s">
        <v>37</v>
      </c>
      <c r="N472" t="s">
        <v>37</v>
      </c>
      <c r="O472" t="s">
        <v>26</v>
      </c>
      <c r="P472" t="s">
        <v>48</v>
      </c>
      <c r="Q472" t="s">
        <v>26</v>
      </c>
      <c r="R472" t="s">
        <v>33</v>
      </c>
      <c r="S472">
        <v>66.905401743629596</v>
      </c>
      <c r="T472">
        <v>3124.9132290569401</v>
      </c>
      <c r="U472">
        <v>44647.109735122103</v>
      </c>
      <c r="V472" t="s">
        <v>25</v>
      </c>
      <c r="W472" t="s">
        <v>30</v>
      </c>
    </row>
    <row r="473" spans="1:23" x14ac:dyDescent="0.35">
      <c r="A473">
        <v>9402.2070564305104</v>
      </c>
      <c r="B473" t="s">
        <v>34</v>
      </c>
      <c r="C473" t="s">
        <v>25</v>
      </c>
      <c r="D473" t="s">
        <v>26</v>
      </c>
      <c r="E473" t="s">
        <v>25</v>
      </c>
      <c r="F473">
        <v>32.690709272378001</v>
      </c>
      <c r="G473" t="s">
        <v>26</v>
      </c>
      <c r="H473" t="s">
        <v>25</v>
      </c>
      <c r="I473" t="s">
        <v>35</v>
      </c>
      <c r="J473" t="s">
        <v>36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45</v>
      </c>
      <c r="Q473" t="s">
        <v>26</v>
      </c>
      <c r="R473" t="s">
        <v>39</v>
      </c>
      <c r="S473">
        <v>66.883993468847905</v>
      </c>
      <c r="T473">
        <v>3122.4408924271702</v>
      </c>
      <c r="U473">
        <v>44646.909512343002</v>
      </c>
      <c r="V473" t="s">
        <v>25</v>
      </c>
      <c r="W473" t="s">
        <v>30</v>
      </c>
    </row>
    <row r="474" spans="1:23" x14ac:dyDescent="0.35">
      <c r="A474">
        <v>9395.8577347033406</v>
      </c>
      <c r="B474" t="s">
        <v>31</v>
      </c>
      <c r="C474">
        <v>0.5</v>
      </c>
      <c r="D474" t="s">
        <v>25</v>
      </c>
      <c r="E474" t="s">
        <v>25</v>
      </c>
      <c r="F474">
        <v>32.682988837961503</v>
      </c>
      <c r="G474" t="s">
        <v>26</v>
      </c>
      <c r="H474" t="s">
        <v>26</v>
      </c>
      <c r="I474" t="s">
        <v>35</v>
      </c>
      <c r="J474" t="s">
        <v>25</v>
      </c>
      <c r="K474" t="s">
        <v>25</v>
      </c>
      <c r="L474" t="s">
        <v>25</v>
      </c>
      <c r="M474" t="s">
        <v>37</v>
      </c>
      <c r="N474" t="s">
        <v>26</v>
      </c>
      <c r="O474" t="s">
        <v>26</v>
      </c>
      <c r="P474" t="s">
        <v>32</v>
      </c>
      <c r="Q474" t="s">
        <v>26</v>
      </c>
      <c r="R474" t="s">
        <v>33</v>
      </c>
      <c r="S474">
        <v>66.862585194066099</v>
      </c>
      <c r="T474">
        <v>3119.9685557973899</v>
      </c>
      <c r="U474">
        <v>44646.709289563798</v>
      </c>
      <c r="V474" t="s">
        <v>26</v>
      </c>
      <c r="W474" t="s">
        <v>30</v>
      </c>
    </row>
    <row r="475" spans="1:23" x14ac:dyDescent="0.35">
      <c r="A475">
        <v>9389.5084129761799</v>
      </c>
      <c r="B475" t="s">
        <v>34</v>
      </c>
      <c r="C475">
        <v>0.58333333333333304</v>
      </c>
      <c r="D475" t="s">
        <v>26</v>
      </c>
      <c r="E475" t="s">
        <v>25</v>
      </c>
      <c r="F475">
        <v>32.675268403544997</v>
      </c>
      <c r="G475" t="s">
        <v>26</v>
      </c>
      <c r="H475" t="s">
        <v>26</v>
      </c>
      <c r="I475" t="s">
        <v>35</v>
      </c>
      <c r="J475" t="s">
        <v>25</v>
      </c>
      <c r="K475" t="s">
        <v>37</v>
      </c>
      <c r="L475" t="s">
        <v>26</v>
      </c>
      <c r="M475" t="s">
        <v>25</v>
      </c>
      <c r="N475" t="s">
        <v>25</v>
      </c>
      <c r="O475" t="s">
        <v>26</v>
      </c>
      <c r="P475" t="s">
        <v>41</v>
      </c>
      <c r="Q475" t="s">
        <v>26</v>
      </c>
      <c r="R475" t="s">
        <v>39</v>
      </c>
      <c r="S475">
        <v>66.841176919284393</v>
      </c>
      <c r="T475">
        <v>3117.49621916762</v>
      </c>
      <c r="U475">
        <v>44646.509066784602</v>
      </c>
      <c r="V475" t="s">
        <v>25</v>
      </c>
      <c r="W475" t="s">
        <v>30</v>
      </c>
    </row>
    <row r="476" spans="1:23" x14ac:dyDescent="0.35">
      <c r="A476">
        <v>9383.1590912490101</v>
      </c>
      <c r="B476" t="s">
        <v>1</v>
      </c>
      <c r="C476">
        <v>0.66666666666666596</v>
      </c>
      <c r="D476" t="s">
        <v>26</v>
      </c>
      <c r="E476" t="s">
        <v>25</v>
      </c>
      <c r="F476">
        <v>32.667547969128599</v>
      </c>
      <c r="G476" t="s">
        <v>26</v>
      </c>
      <c r="H476" t="s">
        <v>26</v>
      </c>
      <c r="I476" t="s">
        <v>35</v>
      </c>
      <c r="J476" t="s">
        <v>25</v>
      </c>
      <c r="K476" t="s">
        <v>36</v>
      </c>
      <c r="L476" t="s">
        <v>25</v>
      </c>
      <c r="M476" t="s">
        <v>26</v>
      </c>
      <c r="N476" t="s">
        <v>25</v>
      </c>
      <c r="O476" t="s">
        <v>25</v>
      </c>
      <c r="P476" t="s">
        <v>41</v>
      </c>
      <c r="Q476" t="s">
        <v>25</v>
      </c>
      <c r="R476" t="s">
        <v>39</v>
      </c>
      <c r="S476">
        <v>66.819768644502602</v>
      </c>
      <c r="T476">
        <v>3115.0238825378401</v>
      </c>
      <c r="U476">
        <v>44646.308844005398</v>
      </c>
      <c r="V476" t="s">
        <v>25</v>
      </c>
      <c r="W476" t="s">
        <v>30</v>
      </c>
    </row>
    <row r="477" spans="1:23" x14ac:dyDescent="0.35">
      <c r="A477">
        <v>9376.8097695218494</v>
      </c>
      <c r="B477" t="s">
        <v>34</v>
      </c>
      <c r="C477">
        <v>0.75</v>
      </c>
      <c r="D477" t="s">
        <v>26</v>
      </c>
      <c r="E477" t="s">
        <v>25</v>
      </c>
      <c r="F477">
        <v>32.6598275347121</v>
      </c>
      <c r="G477" t="s">
        <v>26</v>
      </c>
      <c r="H477" t="s">
        <v>47</v>
      </c>
      <c r="I477" t="s">
        <v>35</v>
      </c>
      <c r="J477" t="s">
        <v>25</v>
      </c>
      <c r="K477" t="s">
        <v>25</v>
      </c>
      <c r="L477" t="s">
        <v>36</v>
      </c>
      <c r="M477" t="s">
        <v>37</v>
      </c>
      <c r="N477" t="s">
        <v>26</v>
      </c>
      <c r="O477" t="s">
        <v>25</v>
      </c>
      <c r="P477" t="s">
        <v>32</v>
      </c>
      <c r="Q477" t="s">
        <v>38</v>
      </c>
      <c r="R477" t="s">
        <v>49</v>
      </c>
      <c r="S477">
        <v>66.798360369720896</v>
      </c>
      <c r="T477">
        <v>3112.5515459080698</v>
      </c>
      <c r="U477">
        <v>44646.108621226304</v>
      </c>
      <c r="V477" t="s">
        <v>25</v>
      </c>
      <c r="W477" t="s">
        <v>30</v>
      </c>
    </row>
    <row r="478" spans="1:23" x14ac:dyDescent="0.35">
      <c r="A478">
        <v>9370.4604477946796</v>
      </c>
      <c r="B478" t="s">
        <v>31</v>
      </c>
      <c r="C478">
        <v>0.83333333333333304</v>
      </c>
      <c r="D478" t="s">
        <v>26</v>
      </c>
      <c r="E478" t="s">
        <v>25</v>
      </c>
      <c r="F478">
        <v>32.652107100295602</v>
      </c>
      <c r="G478" t="s">
        <v>26</v>
      </c>
      <c r="H478" t="s">
        <v>26</v>
      </c>
      <c r="I478" t="s">
        <v>35</v>
      </c>
      <c r="J478" t="s">
        <v>37</v>
      </c>
      <c r="K478" t="s">
        <v>26</v>
      </c>
      <c r="L478" t="s">
        <v>26</v>
      </c>
      <c r="M478" t="s">
        <v>37</v>
      </c>
      <c r="N478" t="s">
        <v>26</v>
      </c>
      <c r="O478" t="s">
        <v>26</v>
      </c>
      <c r="P478" t="s">
        <v>45</v>
      </c>
      <c r="Q478" t="s">
        <v>25</v>
      </c>
      <c r="R478" t="s">
        <v>29</v>
      </c>
      <c r="S478">
        <v>66.776952094939105</v>
      </c>
      <c r="T478">
        <v>3110.0792092782899</v>
      </c>
      <c r="U478">
        <v>44645.9083984471</v>
      </c>
      <c r="V478" t="s">
        <v>25</v>
      </c>
      <c r="W478" t="s">
        <v>30</v>
      </c>
    </row>
    <row r="479" spans="1:23" x14ac:dyDescent="0.35">
      <c r="A479">
        <v>9364.1111260675207</v>
      </c>
      <c r="B479" t="s">
        <v>1</v>
      </c>
      <c r="C479">
        <v>0.91666666666666297</v>
      </c>
      <c r="D479" t="s">
        <v>25</v>
      </c>
      <c r="E479" t="s">
        <v>26</v>
      </c>
      <c r="F479">
        <v>32.644386665879097</v>
      </c>
      <c r="G479" t="s">
        <v>26</v>
      </c>
      <c r="H479" t="s">
        <v>26</v>
      </c>
      <c r="I479" t="s">
        <v>25</v>
      </c>
      <c r="J479" t="s">
        <v>25</v>
      </c>
      <c r="K479" t="s">
        <v>25</v>
      </c>
      <c r="L479" t="s">
        <v>25</v>
      </c>
      <c r="M479" t="s">
        <v>26</v>
      </c>
      <c r="N479" t="s">
        <v>25</v>
      </c>
      <c r="O479" t="s">
        <v>37</v>
      </c>
      <c r="P479" t="s">
        <v>32</v>
      </c>
      <c r="Q479" t="s">
        <v>25</v>
      </c>
      <c r="R479" t="s">
        <v>39</v>
      </c>
      <c r="S479">
        <v>66.7555438201573</v>
      </c>
      <c r="T479">
        <v>3107.60687264852</v>
      </c>
      <c r="U479">
        <v>44645.708175667904</v>
      </c>
      <c r="V479" t="s">
        <v>25</v>
      </c>
      <c r="W479" t="s">
        <v>30</v>
      </c>
    </row>
    <row r="480" spans="1:23" x14ac:dyDescent="0.35">
      <c r="A480">
        <v>9357.7618043403509</v>
      </c>
      <c r="B480" t="s">
        <v>51</v>
      </c>
      <c r="C480">
        <v>1</v>
      </c>
      <c r="D480" t="s">
        <v>36</v>
      </c>
      <c r="E480" t="s">
        <v>25</v>
      </c>
      <c r="F480">
        <v>32.636666231462598</v>
      </c>
      <c r="G480" t="s">
        <v>26</v>
      </c>
      <c r="H480" t="s">
        <v>26</v>
      </c>
      <c r="I480" t="s">
        <v>27</v>
      </c>
      <c r="J480" t="s">
        <v>26</v>
      </c>
      <c r="K480" t="s">
        <v>25</v>
      </c>
      <c r="L480" t="s">
        <v>26</v>
      </c>
      <c r="M480" t="s">
        <v>25</v>
      </c>
      <c r="N480" t="s">
        <v>26</v>
      </c>
      <c r="O480" t="s">
        <v>26</v>
      </c>
      <c r="P480" t="s">
        <v>41</v>
      </c>
      <c r="Q480" t="s">
        <v>36</v>
      </c>
      <c r="R480" t="s">
        <v>49</v>
      </c>
      <c r="S480">
        <v>66.734135545375594</v>
      </c>
      <c r="T480">
        <v>3105.1345360187402</v>
      </c>
      <c r="U480">
        <v>44645.507952888802</v>
      </c>
      <c r="V480" t="s">
        <v>25</v>
      </c>
      <c r="W480" t="s">
        <v>30</v>
      </c>
    </row>
    <row r="481" spans="1:23" x14ac:dyDescent="0.35">
      <c r="A481">
        <v>9351.4124826131902</v>
      </c>
      <c r="B481" t="s">
        <v>31</v>
      </c>
      <c r="C481">
        <v>1.0833333333333299</v>
      </c>
      <c r="D481" t="s">
        <v>25</v>
      </c>
      <c r="E481" t="s">
        <v>36</v>
      </c>
      <c r="F481">
        <v>32.6289457970461</v>
      </c>
      <c r="G481" t="s">
        <v>36</v>
      </c>
      <c r="H481" t="s">
        <v>26</v>
      </c>
      <c r="I481" t="s">
        <v>35</v>
      </c>
      <c r="J481" t="s">
        <v>26</v>
      </c>
      <c r="K481" t="s">
        <v>26</v>
      </c>
      <c r="L481" t="s">
        <v>36</v>
      </c>
      <c r="M481" t="s">
        <v>38</v>
      </c>
      <c r="N481" t="s">
        <v>25</v>
      </c>
      <c r="O481" t="s">
        <v>36</v>
      </c>
      <c r="P481" t="s">
        <v>45</v>
      </c>
      <c r="Q481" t="s">
        <v>26</v>
      </c>
      <c r="R481" t="s">
        <v>29</v>
      </c>
      <c r="S481">
        <v>66.712727270593803</v>
      </c>
      <c r="T481">
        <v>3102.6621993889698</v>
      </c>
      <c r="U481">
        <v>44645.307730109598</v>
      </c>
      <c r="V481" t="s">
        <v>25</v>
      </c>
      <c r="W481" t="s">
        <v>30</v>
      </c>
    </row>
    <row r="482" spans="1:23" x14ac:dyDescent="0.35">
      <c r="A482">
        <v>9345.0631608860203</v>
      </c>
      <c r="B482" t="s">
        <v>34</v>
      </c>
      <c r="C482" t="s">
        <v>25</v>
      </c>
      <c r="D482" t="s">
        <v>26</v>
      </c>
      <c r="E482" t="s">
        <v>26</v>
      </c>
      <c r="F482">
        <v>32.621225362629602</v>
      </c>
      <c r="G482" t="s">
        <v>26</v>
      </c>
      <c r="H482" t="s">
        <v>26</v>
      </c>
      <c r="I482" t="s">
        <v>27</v>
      </c>
      <c r="J482" t="s">
        <v>26</v>
      </c>
      <c r="K482" t="s">
        <v>25</v>
      </c>
      <c r="L482" t="s">
        <v>37</v>
      </c>
      <c r="M482" t="s">
        <v>38</v>
      </c>
      <c r="N482" t="s">
        <v>37</v>
      </c>
      <c r="O482" t="s">
        <v>25</v>
      </c>
      <c r="P482" t="s">
        <v>32</v>
      </c>
      <c r="Q482" t="s">
        <v>26</v>
      </c>
      <c r="R482" t="s">
        <v>39</v>
      </c>
      <c r="S482">
        <v>66.691318995812097</v>
      </c>
      <c r="T482">
        <v>3100.1898627592</v>
      </c>
      <c r="U482">
        <v>44645.107507330402</v>
      </c>
      <c r="V482" t="s">
        <v>26</v>
      </c>
      <c r="W482" t="s">
        <v>30</v>
      </c>
    </row>
    <row r="483" spans="1:23" x14ac:dyDescent="0.35">
      <c r="A483">
        <v>9338.7138391588596</v>
      </c>
      <c r="B483" t="s">
        <v>34</v>
      </c>
      <c r="C483">
        <v>0</v>
      </c>
      <c r="D483" t="s">
        <v>25</v>
      </c>
      <c r="E483" t="s">
        <v>25</v>
      </c>
      <c r="F483">
        <v>32.613504928213104</v>
      </c>
      <c r="G483" t="s">
        <v>26</v>
      </c>
      <c r="H483" t="s">
        <v>25</v>
      </c>
      <c r="I483" t="s">
        <v>35</v>
      </c>
      <c r="J483" t="s">
        <v>25</v>
      </c>
      <c r="K483" t="s">
        <v>26</v>
      </c>
      <c r="L483" t="s">
        <v>25</v>
      </c>
      <c r="M483" t="s">
        <v>36</v>
      </c>
      <c r="N483" t="s">
        <v>26</v>
      </c>
      <c r="O483" t="s">
        <v>25</v>
      </c>
      <c r="P483" t="s">
        <v>41</v>
      </c>
      <c r="Q483" t="s">
        <v>25</v>
      </c>
      <c r="R483" t="s">
        <v>43</v>
      </c>
      <c r="S483">
        <v>66.669910721030305</v>
      </c>
      <c r="T483">
        <v>3097.7175261294201</v>
      </c>
      <c r="U483">
        <v>44644.907284551198</v>
      </c>
      <c r="V483" t="s">
        <v>26</v>
      </c>
      <c r="W483" t="s">
        <v>30</v>
      </c>
    </row>
    <row r="484" spans="1:23" x14ac:dyDescent="0.35">
      <c r="A484">
        <v>9332.3645174316898</v>
      </c>
      <c r="B484" t="s">
        <v>34</v>
      </c>
      <c r="C484">
        <v>0</v>
      </c>
      <c r="D484" t="s">
        <v>25</v>
      </c>
      <c r="E484" t="s">
        <v>25</v>
      </c>
      <c r="F484">
        <v>32.605784493796698</v>
      </c>
      <c r="G484" t="s">
        <v>26</v>
      </c>
      <c r="H484" t="s">
        <v>26</v>
      </c>
      <c r="I484" t="s">
        <v>25</v>
      </c>
      <c r="J484" t="s">
        <v>25</v>
      </c>
      <c r="K484" t="s">
        <v>25</v>
      </c>
      <c r="L484" t="s">
        <v>25</v>
      </c>
      <c r="M484" t="s">
        <v>38</v>
      </c>
      <c r="N484" t="s">
        <v>26</v>
      </c>
      <c r="O484" t="s">
        <v>25</v>
      </c>
      <c r="P484" t="s">
        <v>28</v>
      </c>
      <c r="Q484" t="s">
        <v>26</v>
      </c>
      <c r="R484" t="s">
        <v>29</v>
      </c>
      <c r="S484">
        <v>66.6485024462486</v>
      </c>
      <c r="T484">
        <v>3095.2451894996502</v>
      </c>
      <c r="U484">
        <v>44644.707061772096</v>
      </c>
      <c r="V484" t="s">
        <v>25</v>
      </c>
      <c r="W484" t="s">
        <v>30</v>
      </c>
    </row>
    <row r="485" spans="1:23" x14ac:dyDescent="0.35">
      <c r="A485">
        <v>9326.0151957045291</v>
      </c>
      <c r="B485" t="s">
        <v>34</v>
      </c>
      <c r="C485">
        <v>0</v>
      </c>
      <c r="D485" t="s">
        <v>25</v>
      </c>
      <c r="E485" t="s">
        <v>25</v>
      </c>
      <c r="F485">
        <v>32.598064059380199</v>
      </c>
      <c r="G485" t="s">
        <v>26</v>
      </c>
      <c r="H485" t="s">
        <v>25</v>
      </c>
      <c r="I485" t="s">
        <v>35</v>
      </c>
      <c r="J485" t="s">
        <v>25</v>
      </c>
      <c r="K485" t="s">
        <v>25</v>
      </c>
      <c r="L485" t="s">
        <v>25</v>
      </c>
      <c r="M485" t="s">
        <v>25</v>
      </c>
      <c r="N485" t="s">
        <v>26</v>
      </c>
      <c r="O485" t="s">
        <v>37</v>
      </c>
      <c r="P485" t="s">
        <v>32</v>
      </c>
      <c r="Q485" t="s">
        <v>26</v>
      </c>
      <c r="R485" t="s">
        <v>39</v>
      </c>
      <c r="S485">
        <v>66.627094171466794</v>
      </c>
      <c r="T485">
        <v>3092.7728528698699</v>
      </c>
      <c r="U485">
        <v>44644.5068389929</v>
      </c>
      <c r="V485" t="s">
        <v>25</v>
      </c>
      <c r="W485" t="s">
        <v>50</v>
      </c>
    </row>
    <row r="486" spans="1:23" x14ac:dyDescent="0.35">
      <c r="A486">
        <v>9319.6658739773593</v>
      </c>
      <c r="B486" t="s">
        <v>46</v>
      </c>
      <c r="C486">
        <v>0</v>
      </c>
      <c r="D486" t="s">
        <v>26</v>
      </c>
      <c r="E486" t="s">
        <v>36</v>
      </c>
      <c r="F486">
        <v>32.590343624963701</v>
      </c>
      <c r="G486" t="s">
        <v>26</v>
      </c>
      <c r="H486" t="s">
        <v>25</v>
      </c>
      <c r="I486" t="s">
        <v>25</v>
      </c>
      <c r="J486" t="s">
        <v>38</v>
      </c>
      <c r="K486" t="s">
        <v>26</v>
      </c>
      <c r="L486" t="s">
        <v>37</v>
      </c>
      <c r="M486" t="s">
        <v>25</v>
      </c>
      <c r="N486" t="s">
        <v>25</v>
      </c>
      <c r="O486" t="s">
        <v>36</v>
      </c>
      <c r="P486" t="s">
        <v>32</v>
      </c>
      <c r="Q486" t="s">
        <v>26</v>
      </c>
      <c r="R486" t="s">
        <v>39</v>
      </c>
      <c r="S486">
        <v>66.605685896685003</v>
      </c>
      <c r="T486">
        <v>3090.3005162401</v>
      </c>
      <c r="U486">
        <v>44644.306616213697</v>
      </c>
      <c r="V486" t="s">
        <v>25</v>
      </c>
      <c r="W486" t="s">
        <v>30</v>
      </c>
    </row>
    <row r="487" spans="1:23" x14ac:dyDescent="0.35">
      <c r="A487">
        <v>9313.3165522501895</v>
      </c>
      <c r="B487" t="s">
        <v>34</v>
      </c>
      <c r="C487" t="s">
        <v>25</v>
      </c>
      <c r="D487" t="s">
        <v>25</v>
      </c>
      <c r="E487" t="s">
        <v>36</v>
      </c>
      <c r="F487">
        <v>32.582623190547203</v>
      </c>
      <c r="G487" t="s">
        <v>26</v>
      </c>
      <c r="H487" t="s">
        <v>26</v>
      </c>
      <c r="I487" t="s">
        <v>25</v>
      </c>
      <c r="J487" t="s">
        <v>26</v>
      </c>
      <c r="K487" t="s">
        <v>26</v>
      </c>
      <c r="L487" t="s">
        <v>36</v>
      </c>
      <c r="M487" t="s">
        <v>37</v>
      </c>
      <c r="N487" t="s">
        <v>37</v>
      </c>
      <c r="O487" t="s">
        <v>25</v>
      </c>
      <c r="P487" t="s">
        <v>48</v>
      </c>
      <c r="Q487" t="s">
        <v>26</v>
      </c>
      <c r="R487" t="s">
        <v>39</v>
      </c>
      <c r="S487">
        <v>66.584277621903297</v>
      </c>
      <c r="T487">
        <v>3087.8281796103201</v>
      </c>
      <c r="U487">
        <v>44644.106393434602</v>
      </c>
      <c r="V487" t="s">
        <v>25</v>
      </c>
      <c r="W487" t="s">
        <v>30</v>
      </c>
    </row>
    <row r="488" spans="1:23" x14ac:dyDescent="0.35">
      <c r="A488">
        <v>9306.9672305230306</v>
      </c>
      <c r="B488" t="s">
        <v>46</v>
      </c>
      <c r="C488">
        <v>0.5</v>
      </c>
      <c r="D488" t="s">
        <v>26</v>
      </c>
      <c r="E488" t="s">
        <v>25</v>
      </c>
      <c r="F488">
        <v>32.574902756130697</v>
      </c>
      <c r="G488" t="s">
        <v>38</v>
      </c>
      <c r="H488" t="s">
        <v>47</v>
      </c>
      <c r="I488" t="s">
        <v>35</v>
      </c>
      <c r="J488" t="s">
        <v>38</v>
      </c>
      <c r="K488" t="s">
        <v>26</v>
      </c>
      <c r="L488" t="s">
        <v>26</v>
      </c>
      <c r="M488" t="s">
        <v>25</v>
      </c>
      <c r="N488" t="s">
        <v>25</v>
      </c>
      <c r="O488" t="s">
        <v>25</v>
      </c>
      <c r="P488" t="s">
        <v>45</v>
      </c>
      <c r="Q488" t="s">
        <v>26</v>
      </c>
      <c r="R488" t="s">
        <v>39</v>
      </c>
      <c r="S488">
        <v>66.562869347121506</v>
      </c>
      <c r="T488">
        <v>3085.3558429805498</v>
      </c>
      <c r="U488">
        <v>44643.906170655398</v>
      </c>
      <c r="V488" t="s">
        <v>25</v>
      </c>
      <c r="W488" t="s">
        <v>30</v>
      </c>
    </row>
    <row r="489" spans="1:23" x14ac:dyDescent="0.35">
      <c r="A489">
        <v>9300.6179087958608</v>
      </c>
      <c r="B489" t="s">
        <v>34</v>
      </c>
      <c r="C489">
        <v>0.6</v>
      </c>
      <c r="D489" t="s">
        <v>26</v>
      </c>
      <c r="E489" t="s">
        <v>25</v>
      </c>
      <c r="F489">
        <v>32.567182321714199</v>
      </c>
      <c r="G489" t="s">
        <v>26</v>
      </c>
      <c r="H489" t="s">
        <v>38</v>
      </c>
      <c r="I489" t="s">
        <v>27</v>
      </c>
      <c r="J489" t="s">
        <v>26</v>
      </c>
      <c r="K489" t="s">
        <v>25</v>
      </c>
      <c r="L489" t="s">
        <v>26</v>
      </c>
      <c r="M489" t="s">
        <v>37</v>
      </c>
      <c r="N489" t="s">
        <v>37</v>
      </c>
      <c r="O489" t="s">
        <v>25</v>
      </c>
      <c r="P489" t="s">
        <v>32</v>
      </c>
      <c r="Q489" t="s">
        <v>36</v>
      </c>
      <c r="R489" t="s">
        <v>33</v>
      </c>
      <c r="S489">
        <v>66.5414610723398</v>
      </c>
      <c r="T489">
        <v>3082.8835063507699</v>
      </c>
      <c r="U489">
        <v>44643.705947876202</v>
      </c>
      <c r="V489" t="s">
        <v>25</v>
      </c>
      <c r="W489" t="s">
        <v>30</v>
      </c>
    </row>
    <row r="490" spans="1:23" x14ac:dyDescent="0.35">
      <c r="A490">
        <v>9294.2685870687001</v>
      </c>
      <c r="B490" t="s">
        <v>31</v>
      </c>
      <c r="C490">
        <v>0.7</v>
      </c>
      <c r="D490" t="s">
        <v>26</v>
      </c>
      <c r="E490" t="s">
        <v>26</v>
      </c>
      <c r="F490">
        <v>32.559461887297701</v>
      </c>
      <c r="G490" t="s">
        <v>26</v>
      </c>
      <c r="H490" t="s">
        <v>25</v>
      </c>
      <c r="I490" t="s">
        <v>27</v>
      </c>
      <c r="J490" t="s">
        <v>36</v>
      </c>
      <c r="K490" t="s">
        <v>37</v>
      </c>
      <c r="L490" t="s">
        <v>25</v>
      </c>
      <c r="M490" t="s">
        <v>25</v>
      </c>
      <c r="N490" t="s">
        <v>36</v>
      </c>
      <c r="O490" t="s">
        <v>25</v>
      </c>
      <c r="P490" t="s">
        <v>32</v>
      </c>
      <c r="Q490" t="s">
        <v>36</v>
      </c>
      <c r="R490" t="s">
        <v>39</v>
      </c>
      <c r="S490">
        <v>66.520052797557994</v>
      </c>
      <c r="T490">
        <v>3080.4111697210001</v>
      </c>
      <c r="U490">
        <v>44643.5057250971</v>
      </c>
      <c r="V490" t="s">
        <v>25</v>
      </c>
      <c r="W490" t="s">
        <v>30</v>
      </c>
    </row>
    <row r="491" spans="1:23" x14ac:dyDescent="0.35">
      <c r="A491">
        <v>9287.9192653415303</v>
      </c>
      <c r="B491" t="s">
        <v>34</v>
      </c>
      <c r="C491">
        <v>0.8</v>
      </c>
      <c r="D491" t="s">
        <v>25</v>
      </c>
      <c r="E491" t="s">
        <v>25</v>
      </c>
      <c r="F491">
        <v>32.551741452881302</v>
      </c>
      <c r="G491" t="s">
        <v>38</v>
      </c>
      <c r="H491" t="s">
        <v>26</v>
      </c>
      <c r="I491" t="s">
        <v>27</v>
      </c>
      <c r="J491" t="s">
        <v>37</v>
      </c>
      <c r="K491" t="s">
        <v>37</v>
      </c>
      <c r="L491" t="s">
        <v>25</v>
      </c>
      <c r="M491" t="s">
        <v>25</v>
      </c>
      <c r="N491" t="s">
        <v>37</v>
      </c>
      <c r="O491" t="s">
        <v>36</v>
      </c>
      <c r="P491" t="s">
        <v>28</v>
      </c>
      <c r="Q491" t="s">
        <v>25</v>
      </c>
      <c r="R491" t="s">
        <v>39</v>
      </c>
      <c r="S491">
        <v>66.498644522776303</v>
      </c>
      <c r="T491">
        <v>3077.9388330912202</v>
      </c>
      <c r="U491">
        <v>44643.305502317897</v>
      </c>
      <c r="V491" t="s">
        <v>25</v>
      </c>
      <c r="W491" t="s">
        <v>30</v>
      </c>
    </row>
    <row r="492" spans="1:23" x14ac:dyDescent="0.35">
      <c r="A492">
        <v>9281.5699436143695</v>
      </c>
      <c r="B492" t="s">
        <v>34</v>
      </c>
      <c r="C492" t="s">
        <v>26</v>
      </c>
      <c r="D492" t="s">
        <v>25</v>
      </c>
      <c r="E492" t="s">
        <v>25</v>
      </c>
      <c r="F492">
        <v>32.544021018464797</v>
      </c>
      <c r="G492" t="s">
        <v>26</v>
      </c>
      <c r="H492" t="s">
        <v>25</v>
      </c>
      <c r="I492" t="s">
        <v>35</v>
      </c>
      <c r="J492" t="s">
        <v>38</v>
      </c>
      <c r="K492" t="s">
        <v>25</v>
      </c>
      <c r="L492" t="s">
        <v>26</v>
      </c>
      <c r="M492" t="s">
        <v>25</v>
      </c>
      <c r="N492" t="s">
        <v>25</v>
      </c>
      <c r="O492" t="s">
        <v>26</v>
      </c>
      <c r="P492" t="s">
        <v>45</v>
      </c>
      <c r="Q492" t="s">
        <v>26</v>
      </c>
      <c r="R492" t="s">
        <v>49</v>
      </c>
      <c r="S492">
        <v>66.477236247994497</v>
      </c>
      <c r="T492">
        <v>3075.4664964614499</v>
      </c>
      <c r="U492">
        <v>44643.1052795387</v>
      </c>
      <c r="V492" t="s">
        <v>25</v>
      </c>
      <c r="W492" t="s">
        <v>30</v>
      </c>
    </row>
    <row r="493" spans="1:23" x14ac:dyDescent="0.35">
      <c r="A493">
        <v>9275.2206218871997</v>
      </c>
      <c r="B493" t="s">
        <v>31</v>
      </c>
      <c r="C493">
        <v>0.18300653594771299</v>
      </c>
      <c r="D493" t="s">
        <v>26</v>
      </c>
      <c r="E493" t="s">
        <v>25</v>
      </c>
      <c r="F493">
        <v>32.536300584048298</v>
      </c>
      <c r="G493" t="s">
        <v>25</v>
      </c>
      <c r="H493" t="s">
        <v>26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26</v>
      </c>
      <c r="O493" t="s">
        <v>37</v>
      </c>
      <c r="P493" t="s">
        <v>32</v>
      </c>
      <c r="Q493" t="s">
        <v>25</v>
      </c>
      <c r="R493" t="s">
        <v>43</v>
      </c>
      <c r="S493">
        <v>66.455827973212806</v>
      </c>
      <c r="T493">
        <v>3072.99415983167</v>
      </c>
      <c r="U493">
        <v>44642.905056759497</v>
      </c>
      <c r="V493" t="s">
        <v>25</v>
      </c>
      <c r="W493" t="s">
        <v>30</v>
      </c>
    </row>
    <row r="494" spans="1:23" x14ac:dyDescent="0.35">
      <c r="A494">
        <v>9268.8713001600408</v>
      </c>
      <c r="B494" t="s">
        <v>34</v>
      </c>
      <c r="C494">
        <v>0.17887856897144799</v>
      </c>
      <c r="D494" t="s">
        <v>25</v>
      </c>
      <c r="E494" t="s">
        <v>25</v>
      </c>
      <c r="F494">
        <v>32.5285801496318</v>
      </c>
      <c r="G494" t="s">
        <v>26</v>
      </c>
      <c r="H494" t="s">
        <v>26</v>
      </c>
      <c r="I494" t="s">
        <v>35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38</v>
      </c>
      <c r="P494" t="s">
        <v>32</v>
      </c>
      <c r="Q494" t="s">
        <v>26</v>
      </c>
      <c r="R494" t="s">
        <v>49</v>
      </c>
      <c r="S494">
        <v>66.434419698431</v>
      </c>
      <c r="T494">
        <v>3070.5218232019001</v>
      </c>
      <c r="U494">
        <v>44642.704833980402</v>
      </c>
      <c r="V494" t="s">
        <v>25</v>
      </c>
      <c r="W494" t="s">
        <v>30</v>
      </c>
    </row>
    <row r="495" spans="1:23" x14ac:dyDescent="0.35">
      <c r="A495">
        <v>9262.5219784328692</v>
      </c>
      <c r="B495" t="s">
        <v>31</v>
      </c>
      <c r="C495">
        <v>0.174750601995184</v>
      </c>
      <c r="D495" t="s">
        <v>25</v>
      </c>
      <c r="E495" t="s">
        <v>25</v>
      </c>
      <c r="F495">
        <v>32.520859715215302</v>
      </c>
      <c r="G495" t="s">
        <v>26</v>
      </c>
      <c r="H495" t="s">
        <v>25</v>
      </c>
      <c r="I495" t="s">
        <v>35</v>
      </c>
      <c r="J495" t="s">
        <v>25</v>
      </c>
      <c r="K495" t="s">
        <v>25</v>
      </c>
      <c r="L495" t="s">
        <v>25</v>
      </c>
      <c r="M495" t="s">
        <v>26</v>
      </c>
      <c r="N495" t="s">
        <v>26</v>
      </c>
      <c r="O495" t="s">
        <v>25</v>
      </c>
      <c r="P495" t="s">
        <v>45</v>
      </c>
      <c r="Q495" t="s">
        <v>26</v>
      </c>
      <c r="R495" t="s">
        <v>29</v>
      </c>
      <c r="S495">
        <v>66.413011423649294</v>
      </c>
      <c r="T495">
        <v>3068.0494865721198</v>
      </c>
      <c r="U495">
        <v>44642.504611201199</v>
      </c>
      <c r="V495" t="s">
        <v>25</v>
      </c>
      <c r="W495" t="s">
        <v>30</v>
      </c>
    </row>
    <row r="496" spans="1:23" x14ac:dyDescent="0.35">
      <c r="A496">
        <v>9256.1726567056994</v>
      </c>
      <c r="B496" t="s">
        <v>1</v>
      </c>
      <c r="C496">
        <v>0.17062263501892</v>
      </c>
      <c r="D496" t="s">
        <v>26</v>
      </c>
      <c r="E496" t="s">
        <v>26</v>
      </c>
      <c r="F496">
        <v>32.513139280798796</v>
      </c>
      <c r="G496" t="s">
        <v>26</v>
      </c>
      <c r="H496" t="s">
        <v>26</v>
      </c>
      <c r="I496" t="s">
        <v>27</v>
      </c>
      <c r="J496" t="s">
        <v>36</v>
      </c>
      <c r="K496" t="s">
        <v>26</v>
      </c>
      <c r="L496" t="s">
        <v>26</v>
      </c>
      <c r="M496" t="s">
        <v>25</v>
      </c>
      <c r="N496" t="s">
        <v>26</v>
      </c>
      <c r="O496" t="s">
        <v>38</v>
      </c>
      <c r="P496" t="s">
        <v>32</v>
      </c>
      <c r="Q496" t="s">
        <v>26</v>
      </c>
      <c r="R496" t="s">
        <v>49</v>
      </c>
      <c r="S496">
        <v>66.391603148867503</v>
      </c>
      <c r="T496">
        <v>3065.5771499423499</v>
      </c>
      <c r="U496">
        <v>44642.304388422002</v>
      </c>
      <c r="V496" t="s">
        <v>25</v>
      </c>
      <c r="W496" t="s">
        <v>30</v>
      </c>
    </row>
    <row r="497" spans="1:23" x14ac:dyDescent="0.35">
      <c r="A497">
        <v>9249.8233349785405</v>
      </c>
      <c r="B497" t="s">
        <v>34</v>
      </c>
      <c r="C497">
        <v>0.166494668042656</v>
      </c>
      <c r="D497" t="s">
        <v>26</v>
      </c>
      <c r="E497" t="s">
        <v>25</v>
      </c>
      <c r="F497">
        <v>32.505418846382298</v>
      </c>
      <c r="G497" t="s">
        <v>26</v>
      </c>
      <c r="H497" t="s">
        <v>25</v>
      </c>
      <c r="I497" t="s">
        <v>35</v>
      </c>
      <c r="J497" t="s">
        <v>26</v>
      </c>
      <c r="K497" t="s">
        <v>26</v>
      </c>
      <c r="L497" t="s">
        <v>25</v>
      </c>
      <c r="M497" t="s">
        <v>37</v>
      </c>
      <c r="N497" t="s">
        <v>36</v>
      </c>
      <c r="O497" t="s">
        <v>25</v>
      </c>
      <c r="P497" t="s">
        <v>41</v>
      </c>
      <c r="Q497" t="s">
        <v>26</v>
      </c>
      <c r="R497" t="s">
        <v>39</v>
      </c>
      <c r="S497">
        <v>66.370194874085698</v>
      </c>
      <c r="T497">
        <v>3063.1048133125701</v>
      </c>
      <c r="U497">
        <v>44642.104165642901</v>
      </c>
      <c r="V497" t="s">
        <v>26</v>
      </c>
      <c r="W497" t="s">
        <v>30</v>
      </c>
    </row>
    <row r="498" spans="1:23" x14ac:dyDescent="0.35">
      <c r="A498">
        <v>9243.4740132513798</v>
      </c>
      <c r="B498" t="s">
        <v>31</v>
      </c>
      <c r="C498">
        <v>0.16236670106639201</v>
      </c>
      <c r="D498" t="s">
        <v>26</v>
      </c>
      <c r="E498" t="s">
        <v>25</v>
      </c>
      <c r="F498">
        <v>32.4976984119658</v>
      </c>
      <c r="G498" t="s">
        <v>26</v>
      </c>
      <c r="H498" t="s">
        <v>26</v>
      </c>
      <c r="I498" t="s">
        <v>35</v>
      </c>
      <c r="J498" t="s">
        <v>26</v>
      </c>
      <c r="K498" t="s">
        <v>38</v>
      </c>
      <c r="L498" t="s">
        <v>25</v>
      </c>
      <c r="M498" t="s">
        <v>37</v>
      </c>
      <c r="N498" t="s">
        <v>36</v>
      </c>
      <c r="O498" t="s">
        <v>26</v>
      </c>
      <c r="P498" t="s">
        <v>42</v>
      </c>
      <c r="Q498" t="s">
        <v>25</v>
      </c>
      <c r="R498" t="s">
        <v>39</v>
      </c>
      <c r="S498">
        <v>66.348786599304006</v>
      </c>
      <c r="T498">
        <v>3060.6324766828002</v>
      </c>
      <c r="U498">
        <v>44641.903942863697</v>
      </c>
      <c r="V498" t="s">
        <v>25</v>
      </c>
      <c r="W498" t="s">
        <v>30</v>
      </c>
    </row>
    <row r="499" spans="1:23" x14ac:dyDescent="0.35">
      <c r="A499">
        <v>9237.12469152421</v>
      </c>
      <c r="B499" t="s">
        <v>34</v>
      </c>
      <c r="C499">
        <v>0.15823873409012701</v>
      </c>
      <c r="D499" t="s">
        <v>26</v>
      </c>
      <c r="E499" t="s">
        <v>25</v>
      </c>
      <c r="F499">
        <v>32.489977977549401</v>
      </c>
      <c r="G499" t="s">
        <v>26</v>
      </c>
      <c r="H499" t="s">
        <v>25</v>
      </c>
      <c r="I499" t="s">
        <v>35</v>
      </c>
      <c r="J499" t="s">
        <v>25</v>
      </c>
      <c r="K499" t="s">
        <v>37</v>
      </c>
      <c r="L499" t="s">
        <v>25</v>
      </c>
      <c r="M499" t="s">
        <v>37</v>
      </c>
      <c r="N499" t="s">
        <v>26</v>
      </c>
      <c r="O499" t="s">
        <v>26</v>
      </c>
      <c r="P499" t="s">
        <v>48</v>
      </c>
      <c r="Q499" t="s">
        <v>25</v>
      </c>
      <c r="R499" t="s">
        <v>44</v>
      </c>
      <c r="S499">
        <v>66.327378324522201</v>
      </c>
      <c r="T499">
        <v>3058.1601400530299</v>
      </c>
      <c r="U499">
        <v>44641.703720084501</v>
      </c>
      <c r="V499" t="s">
        <v>25</v>
      </c>
      <c r="W499" t="s">
        <v>30</v>
      </c>
    </row>
    <row r="500" spans="1:23" x14ac:dyDescent="0.35">
      <c r="A500">
        <v>9230.7753697970493</v>
      </c>
      <c r="B500" t="s">
        <v>46</v>
      </c>
      <c r="C500">
        <v>0.15411076711386301</v>
      </c>
      <c r="D500" t="s">
        <v>25</v>
      </c>
      <c r="E500" t="s">
        <v>25</v>
      </c>
      <c r="F500">
        <v>32.482257543132903</v>
      </c>
      <c r="G500" t="s">
        <v>26</v>
      </c>
      <c r="H500" t="s">
        <v>25</v>
      </c>
      <c r="I500" t="s">
        <v>52</v>
      </c>
      <c r="J500" t="s">
        <v>37</v>
      </c>
      <c r="K500" t="s">
        <v>25</v>
      </c>
      <c r="L500" t="s">
        <v>25</v>
      </c>
      <c r="M500" t="s">
        <v>36</v>
      </c>
      <c r="N500" t="s">
        <v>26</v>
      </c>
      <c r="O500" t="s">
        <v>25</v>
      </c>
      <c r="P500" t="s">
        <v>28</v>
      </c>
      <c r="Q500" t="s">
        <v>26</v>
      </c>
      <c r="R500" t="s">
        <v>33</v>
      </c>
      <c r="S500">
        <v>66.305970049740495</v>
      </c>
      <c r="T500">
        <v>3055.68780342325</v>
      </c>
      <c r="U500">
        <v>44641.503497305399</v>
      </c>
      <c r="V500" t="s">
        <v>25</v>
      </c>
      <c r="W500" t="s">
        <v>30</v>
      </c>
    </row>
    <row r="1489" spans="15:23" x14ac:dyDescent="0.35">
      <c r="O1489" t="s">
        <v>54</v>
      </c>
    </row>
    <row r="1499" spans="15:23" x14ac:dyDescent="0.35">
      <c r="W149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5"/>
  <sheetViews>
    <sheetView workbookViewId="0">
      <selection activeCell="E21" sqref="E21"/>
    </sheetView>
  </sheetViews>
  <sheetFormatPr defaultRowHeight="14.5" x14ac:dyDescent="0.35"/>
  <cols>
    <col min="1" max="1" width="11.7265625" bestFit="1" customWidth="1"/>
    <col min="2" max="2" width="7" customWidth="1"/>
    <col min="3" max="3" width="12.6328125" bestFit="1" customWidth="1"/>
    <col min="4" max="4" width="7.08984375" bestFit="1" customWidth="1"/>
    <col min="5" max="5" width="10.90625" bestFit="1" customWidth="1"/>
    <col min="6" max="6" width="13" bestFit="1" customWidth="1"/>
    <col min="7" max="7" width="15.36328125" customWidth="1"/>
    <col min="8" max="8" width="14.453125" bestFit="1" customWidth="1"/>
    <col min="9" max="14" width="16.54296875" bestFit="1" customWidth="1"/>
    <col min="15" max="15" width="15.08984375" bestFit="1" customWidth="1"/>
    <col min="16" max="16" width="14.81640625" bestFit="1" customWidth="1"/>
    <col min="17" max="17" width="14.81640625" customWidth="1"/>
    <col min="18" max="18" width="15.81640625" bestFit="1" customWidth="1"/>
    <col min="19" max="19" width="19.36328125" style="2" customWidth="1"/>
    <col min="20" max="20" width="17.90625" style="3" customWidth="1"/>
    <col min="21" max="21" width="15.453125" style="4" customWidth="1"/>
    <col min="22" max="22" width="5.90625" bestFit="1" customWidth="1"/>
    <col min="23" max="23" width="11.6328125" bestFit="1" customWidth="1"/>
    <col min="25" max="25" width="0.26953125" customWidth="1"/>
    <col min="44" max="44" width="12" customWidth="1"/>
  </cols>
  <sheetData>
    <row r="1" spans="1:25" x14ac:dyDescent="0.35">
      <c r="A1" s="5" t="s">
        <v>75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59</v>
      </c>
      <c r="R1" s="5" t="s">
        <v>71</v>
      </c>
      <c r="S1" s="6" t="s">
        <v>77</v>
      </c>
      <c r="T1" s="7" t="s">
        <v>78</v>
      </c>
      <c r="U1" s="8" t="s">
        <v>72</v>
      </c>
      <c r="V1" s="5" t="s">
        <v>73</v>
      </c>
      <c r="W1" s="5" t="s">
        <v>74</v>
      </c>
      <c r="Y1" t="e">
        <f>PROPER(#REF!)</f>
        <v>#REF!</v>
      </c>
    </row>
    <row r="2" spans="1:25" x14ac:dyDescent="0.35">
      <c r="A2">
        <v>1000</v>
      </c>
      <c r="B2" t="s">
        <v>31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27</v>
      </c>
      <c r="I2" t="s">
        <v>26</v>
      </c>
      <c r="J2" t="s">
        <v>26</v>
      </c>
      <c r="K2" t="s">
        <v>26</v>
      </c>
      <c r="L2" t="s">
        <v>25</v>
      </c>
      <c r="M2" t="s">
        <v>25</v>
      </c>
      <c r="N2" t="s">
        <v>25</v>
      </c>
      <c r="O2" t="s">
        <v>28</v>
      </c>
      <c r="P2" t="s">
        <v>26</v>
      </c>
      <c r="Q2">
        <v>41</v>
      </c>
      <c r="R2" t="s">
        <v>29</v>
      </c>
      <c r="S2" s="2">
        <v>53.77</v>
      </c>
      <c r="T2" s="3">
        <v>848</v>
      </c>
      <c r="U2" s="4">
        <v>45506</v>
      </c>
      <c r="V2" t="s">
        <v>25</v>
      </c>
      <c r="W2" t="s">
        <v>30</v>
      </c>
    </row>
    <row r="3" spans="1:25" x14ac:dyDescent="0.35">
      <c r="A3">
        <v>1001</v>
      </c>
      <c r="B3" t="s">
        <v>31</v>
      </c>
      <c r="C3" t="s">
        <v>25</v>
      </c>
      <c r="D3" t="s">
        <v>26</v>
      </c>
      <c r="E3" t="s">
        <v>25</v>
      </c>
      <c r="F3" t="s">
        <v>26</v>
      </c>
      <c r="G3" t="s">
        <v>26</v>
      </c>
      <c r="H3" t="s">
        <v>27</v>
      </c>
      <c r="I3" t="s">
        <v>26</v>
      </c>
      <c r="J3" t="s">
        <v>26</v>
      </c>
      <c r="K3" t="s">
        <v>26</v>
      </c>
      <c r="L3" t="s">
        <v>26</v>
      </c>
      <c r="M3" t="s">
        <v>25</v>
      </c>
      <c r="N3" t="s">
        <v>25</v>
      </c>
      <c r="O3" t="s">
        <v>41</v>
      </c>
      <c r="P3" t="s">
        <v>26</v>
      </c>
      <c r="Q3">
        <v>27</v>
      </c>
      <c r="R3" t="s">
        <v>33</v>
      </c>
      <c r="S3" s="2">
        <v>84.76</v>
      </c>
      <c r="T3" s="3">
        <v>6916</v>
      </c>
      <c r="U3" s="4">
        <v>44757</v>
      </c>
      <c r="V3" t="s">
        <v>25</v>
      </c>
      <c r="W3" t="s">
        <v>30</v>
      </c>
    </row>
    <row r="4" spans="1:25" x14ac:dyDescent="0.35">
      <c r="A4">
        <v>1003</v>
      </c>
      <c r="B4" t="s">
        <v>34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35</v>
      </c>
      <c r="I4" t="s">
        <v>25</v>
      </c>
      <c r="J4" t="s">
        <v>26</v>
      </c>
      <c r="K4" t="s">
        <v>25</v>
      </c>
      <c r="L4" t="s">
        <v>25</v>
      </c>
      <c r="M4" t="s">
        <v>25</v>
      </c>
      <c r="N4" t="s">
        <v>26</v>
      </c>
      <c r="O4" t="s">
        <v>41</v>
      </c>
      <c r="P4" t="s">
        <v>26</v>
      </c>
      <c r="Q4">
        <v>36</v>
      </c>
      <c r="R4" t="s">
        <v>29</v>
      </c>
      <c r="S4" s="2">
        <v>28.61</v>
      </c>
      <c r="T4" s="3">
        <v>1099.8499999999999</v>
      </c>
      <c r="U4" s="4">
        <v>45490</v>
      </c>
      <c r="V4" t="s">
        <v>25</v>
      </c>
      <c r="W4" t="s">
        <v>30</v>
      </c>
    </row>
    <row r="5" spans="1:25" x14ac:dyDescent="0.35">
      <c r="A5">
        <v>1004</v>
      </c>
      <c r="B5" t="s">
        <v>31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26</v>
      </c>
      <c r="N5" t="s">
        <v>26</v>
      </c>
      <c r="O5" t="s">
        <v>41</v>
      </c>
      <c r="P5" t="s">
        <v>25</v>
      </c>
      <c r="Q5">
        <v>1</v>
      </c>
      <c r="R5" t="s">
        <v>39</v>
      </c>
      <c r="S5" s="2">
        <v>119.07</v>
      </c>
      <c r="T5" s="3">
        <v>6943.98</v>
      </c>
      <c r="U5" s="4">
        <v>45447</v>
      </c>
      <c r="V5" t="s">
        <v>25</v>
      </c>
      <c r="W5" t="s">
        <v>30</v>
      </c>
    </row>
    <row r="6" spans="1:25" x14ac:dyDescent="0.35">
      <c r="A6">
        <v>1005</v>
      </c>
      <c r="B6" t="s">
        <v>34</v>
      </c>
      <c r="C6" t="s">
        <v>25</v>
      </c>
      <c r="D6" t="s">
        <v>25</v>
      </c>
      <c r="E6" t="s">
        <v>26</v>
      </c>
      <c r="F6" t="s">
        <v>26</v>
      </c>
      <c r="G6" t="s">
        <v>26</v>
      </c>
      <c r="H6" t="s">
        <v>27</v>
      </c>
      <c r="I6" t="s">
        <v>25</v>
      </c>
      <c r="J6" t="s">
        <v>26</v>
      </c>
      <c r="K6" t="s">
        <v>25</v>
      </c>
      <c r="L6" t="s">
        <v>25</v>
      </c>
      <c r="M6" t="s">
        <v>25</v>
      </c>
      <c r="N6" t="s">
        <v>26</v>
      </c>
      <c r="O6" t="s">
        <v>41</v>
      </c>
      <c r="P6" t="s">
        <v>25</v>
      </c>
      <c r="Q6">
        <v>20</v>
      </c>
      <c r="R6" t="s">
        <v>39</v>
      </c>
      <c r="S6" s="2">
        <v>108.74</v>
      </c>
      <c r="T6" s="3">
        <v>5279.77</v>
      </c>
      <c r="U6" s="4">
        <v>45046</v>
      </c>
      <c r="V6" t="s">
        <v>25</v>
      </c>
      <c r="W6" t="s">
        <v>30</v>
      </c>
    </row>
    <row r="7" spans="1:25" x14ac:dyDescent="0.35">
      <c r="A7">
        <v>1006</v>
      </c>
      <c r="B7" t="s">
        <v>31</v>
      </c>
      <c r="C7" t="s">
        <v>26</v>
      </c>
      <c r="D7" t="s">
        <v>25</v>
      </c>
      <c r="E7" t="s">
        <v>25</v>
      </c>
      <c r="F7" t="s">
        <v>26</v>
      </c>
      <c r="G7" t="s">
        <v>25</v>
      </c>
      <c r="H7" t="s">
        <v>27</v>
      </c>
      <c r="I7" t="s">
        <v>26</v>
      </c>
      <c r="J7" t="s">
        <v>26</v>
      </c>
      <c r="K7" t="s">
        <v>26</v>
      </c>
      <c r="L7" t="s">
        <v>26</v>
      </c>
      <c r="M7" t="s">
        <v>25</v>
      </c>
      <c r="N7" t="s">
        <v>25</v>
      </c>
      <c r="O7" t="s">
        <v>41</v>
      </c>
      <c r="P7" t="s">
        <v>26</v>
      </c>
      <c r="Q7">
        <v>42</v>
      </c>
      <c r="R7" t="s">
        <v>33</v>
      </c>
      <c r="S7" s="2">
        <v>55.79</v>
      </c>
      <c r="T7" s="3">
        <v>605.88</v>
      </c>
      <c r="U7" s="4">
        <v>44622</v>
      </c>
      <c r="V7" t="s">
        <v>25</v>
      </c>
      <c r="W7" t="s">
        <v>30</v>
      </c>
    </row>
    <row r="8" spans="1:25" x14ac:dyDescent="0.35">
      <c r="A8">
        <v>1007</v>
      </c>
      <c r="B8" t="s">
        <v>31</v>
      </c>
      <c r="C8" t="s">
        <v>26</v>
      </c>
      <c r="D8" t="s">
        <v>25</v>
      </c>
      <c r="E8" t="s">
        <v>26</v>
      </c>
      <c r="F8" t="s">
        <v>25</v>
      </c>
      <c r="G8" t="s">
        <v>26</v>
      </c>
      <c r="H8" t="s">
        <v>27</v>
      </c>
      <c r="I8" t="s">
        <v>25</v>
      </c>
      <c r="J8" t="s">
        <v>25</v>
      </c>
      <c r="K8" t="s">
        <v>25</v>
      </c>
      <c r="L8" t="s">
        <v>26</v>
      </c>
      <c r="M8" t="s">
        <v>26</v>
      </c>
      <c r="N8" t="s">
        <v>25</v>
      </c>
      <c r="O8" t="s">
        <v>42</v>
      </c>
      <c r="P8" t="s">
        <v>26</v>
      </c>
      <c r="Q8">
        <v>20</v>
      </c>
      <c r="R8" t="s">
        <v>39</v>
      </c>
      <c r="S8" s="2">
        <v>110.69</v>
      </c>
      <c r="T8" s="3">
        <v>2376.13</v>
      </c>
      <c r="U8" s="4">
        <v>45618</v>
      </c>
      <c r="V8" t="s">
        <v>25</v>
      </c>
      <c r="W8" t="s">
        <v>30</v>
      </c>
    </row>
    <row r="9" spans="1:25" x14ac:dyDescent="0.35">
      <c r="A9">
        <v>1008</v>
      </c>
      <c r="B9" t="s">
        <v>31</v>
      </c>
      <c r="C9" t="s">
        <v>26</v>
      </c>
      <c r="D9" t="s">
        <v>25</v>
      </c>
      <c r="E9" t="s">
        <v>25</v>
      </c>
      <c r="F9" t="s">
        <v>26</v>
      </c>
      <c r="G9" t="s">
        <v>25</v>
      </c>
      <c r="H9" t="s">
        <v>27</v>
      </c>
      <c r="I9" t="s">
        <v>26</v>
      </c>
      <c r="J9" t="s">
        <v>25</v>
      </c>
      <c r="K9" t="s">
        <v>26</v>
      </c>
      <c r="L9" t="s">
        <v>25</v>
      </c>
      <c r="M9" t="s">
        <v>25</v>
      </c>
      <c r="N9" t="s">
        <v>26</v>
      </c>
      <c r="O9" t="s">
        <v>28</v>
      </c>
      <c r="P9" t="s">
        <v>26</v>
      </c>
      <c r="Q9">
        <v>34</v>
      </c>
      <c r="R9" t="s">
        <v>39</v>
      </c>
      <c r="S9" s="2">
        <v>77.83</v>
      </c>
      <c r="T9" s="3">
        <v>1405.22</v>
      </c>
      <c r="U9" s="4">
        <v>44197</v>
      </c>
      <c r="V9" t="s">
        <v>25</v>
      </c>
      <c r="W9" t="s">
        <v>30</v>
      </c>
    </row>
    <row r="10" spans="1:25" x14ac:dyDescent="0.35">
      <c r="A10">
        <v>1009</v>
      </c>
      <c r="B10" t="s">
        <v>31</v>
      </c>
      <c r="C10" t="s">
        <v>25</v>
      </c>
      <c r="D10" t="s">
        <v>26</v>
      </c>
      <c r="E10" t="s">
        <v>25</v>
      </c>
      <c r="F10" t="s">
        <v>26</v>
      </c>
      <c r="G10" t="s">
        <v>25</v>
      </c>
      <c r="H10" t="s">
        <v>27</v>
      </c>
      <c r="I10" t="s">
        <v>25</v>
      </c>
      <c r="J10" t="s">
        <v>26</v>
      </c>
      <c r="K10" t="s">
        <v>25</v>
      </c>
      <c r="L10" t="s">
        <v>25</v>
      </c>
      <c r="M10" t="s">
        <v>25</v>
      </c>
      <c r="N10" t="s">
        <v>26</v>
      </c>
      <c r="O10" t="s">
        <v>45</v>
      </c>
      <c r="P10" t="s">
        <v>26</v>
      </c>
      <c r="Q10">
        <v>61</v>
      </c>
      <c r="R10" t="s">
        <v>33</v>
      </c>
      <c r="S10" s="2">
        <v>93.42</v>
      </c>
      <c r="T10" s="3">
        <v>6018.92</v>
      </c>
      <c r="U10" s="4">
        <v>45079</v>
      </c>
      <c r="V10" t="s">
        <v>25</v>
      </c>
      <c r="W10" t="s">
        <v>30</v>
      </c>
    </row>
    <row r="11" spans="1:25" x14ac:dyDescent="0.35">
      <c r="A11">
        <v>1010</v>
      </c>
      <c r="B11" t="s">
        <v>34</v>
      </c>
      <c r="C11" t="s">
        <v>26</v>
      </c>
      <c r="D11" t="s">
        <v>25</v>
      </c>
      <c r="E11" t="s">
        <v>26</v>
      </c>
      <c r="F11" t="s">
        <v>26</v>
      </c>
      <c r="G11" t="s">
        <v>26</v>
      </c>
      <c r="H11" t="s">
        <v>27</v>
      </c>
      <c r="I11" t="s">
        <v>26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28</v>
      </c>
      <c r="P11" t="s">
        <v>25</v>
      </c>
      <c r="Q11">
        <v>71</v>
      </c>
      <c r="R11" t="s">
        <v>39</v>
      </c>
      <c r="S11" s="2">
        <f>T11/Q11</f>
        <v>89.25352112676056</v>
      </c>
      <c r="T11" s="3">
        <v>6337</v>
      </c>
      <c r="U11" s="4">
        <v>45106</v>
      </c>
      <c r="V11" t="s">
        <v>25</v>
      </c>
      <c r="W11" t="s">
        <v>30</v>
      </c>
    </row>
    <row r="12" spans="1:25" x14ac:dyDescent="0.35">
      <c r="A12">
        <v>1011</v>
      </c>
      <c r="B12" t="s">
        <v>31</v>
      </c>
      <c r="C12" t="s">
        <v>25</v>
      </c>
      <c r="D12" t="s">
        <v>26</v>
      </c>
      <c r="E12" t="s">
        <v>26</v>
      </c>
      <c r="F12" t="s">
        <v>26</v>
      </c>
      <c r="G12" t="s">
        <v>25</v>
      </c>
      <c r="H12" t="s">
        <v>27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41</v>
      </c>
      <c r="P12" t="s">
        <v>26</v>
      </c>
      <c r="Q12">
        <v>66</v>
      </c>
      <c r="R12" t="s">
        <v>29</v>
      </c>
      <c r="S12" s="2">
        <v>42.72</v>
      </c>
      <c r="T12" s="3">
        <v>6466.08</v>
      </c>
      <c r="U12" s="4">
        <v>45602</v>
      </c>
      <c r="V12" t="s">
        <v>25</v>
      </c>
      <c r="W12" t="s">
        <v>30</v>
      </c>
      <c r="X12" t="s">
        <v>76</v>
      </c>
    </row>
    <row r="13" spans="1:25" x14ac:dyDescent="0.35">
      <c r="A13">
        <v>1012</v>
      </c>
      <c r="B13" t="s">
        <v>31</v>
      </c>
      <c r="C13" t="s">
        <v>25</v>
      </c>
      <c r="D13" t="s">
        <v>25</v>
      </c>
      <c r="E13" t="s">
        <v>25</v>
      </c>
      <c r="F13" t="s">
        <v>26</v>
      </c>
      <c r="G13" t="s">
        <v>26</v>
      </c>
      <c r="H13" t="s">
        <v>27</v>
      </c>
      <c r="I13" t="s">
        <v>25</v>
      </c>
      <c r="J13" t="s">
        <v>25</v>
      </c>
      <c r="K13" t="s">
        <v>25</v>
      </c>
      <c r="L13" t="s">
        <v>26</v>
      </c>
      <c r="M13" t="s">
        <v>26</v>
      </c>
      <c r="N13" t="s">
        <v>25</v>
      </c>
      <c r="O13" t="s">
        <v>28</v>
      </c>
      <c r="P13" t="s">
        <v>26</v>
      </c>
      <c r="Q13">
        <v>17</v>
      </c>
      <c r="R13" t="s">
        <v>33</v>
      </c>
      <c r="S13" s="2">
        <v>77.709999999999994</v>
      </c>
      <c r="T13" s="3">
        <v>6959.68</v>
      </c>
      <c r="U13" s="4">
        <v>43996</v>
      </c>
      <c r="V13" t="s">
        <v>25</v>
      </c>
      <c r="W13" t="s">
        <v>30</v>
      </c>
    </row>
    <row r="14" spans="1:25" x14ac:dyDescent="0.35">
      <c r="A14">
        <v>1013</v>
      </c>
      <c r="B14" t="s">
        <v>34</v>
      </c>
      <c r="C14" t="s">
        <v>26</v>
      </c>
      <c r="D14" t="s">
        <v>25</v>
      </c>
      <c r="E14" t="s">
        <v>25</v>
      </c>
      <c r="F14" t="s">
        <v>26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28</v>
      </c>
      <c r="P14" t="s">
        <v>25</v>
      </c>
      <c r="Q14">
        <v>6</v>
      </c>
      <c r="R14" t="s">
        <v>29</v>
      </c>
      <c r="S14" s="2">
        <v>35.28</v>
      </c>
      <c r="T14" s="3">
        <v>659.67</v>
      </c>
      <c r="U14" s="4">
        <v>45054</v>
      </c>
      <c r="V14" t="s">
        <v>26</v>
      </c>
      <c r="W14" t="s">
        <v>30</v>
      </c>
    </row>
    <row r="15" spans="1:25" x14ac:dyDescent="0.35">
      <c r="A15">
        <v>1014</v>
      </c>
      <c r="B15" t="s">
        <v>34</v>
      </c>
      <c r="C15" t="s">
        <v>25</v>
      </c>
      <c r="D15" t="s">
        <v>26</v>
      </c>
      <c r="E15" t="s">
        <v>25</v>
      </c>
      <c r="F15" t="s">
        <v>26</v>
      </c>
      <c r="G15" t="s">
        <v>25</v>
      </c>
      <c r="H15" t="s">
        <v>35</v>
      </c>
      <c r="I15" t="s">
        <v>25</v>
      </c>
      <c r="J15" t="s">
        <v>26</v>
      </c>
      <c r="K15" t="s">
        <v>26</v>
      </c>
      <c r="L15" t="s">
        <v>25</v>
      </c>
      <c r="M15" t="s">
        <v>26</v>
      </c>
      <c r="N15" t="s">
        <v>26</v>
      </c>
      <c r="O15" t="s">
        <v>45</v>
      </c>
      <c r="P15" t="s">
        <v>25</v>
      </c>
      <c r="Q15">
        <v>65</v>
      </c>
      <c r="R15" t="s">
        <v>39</v>
      </c>
      <c r="S15" s="2">
        <v>92.86</v>
      </c>
      <c r="T15" s="3">
        <v>2951.16</v>
      </c>
      <c r="U15" s="4">
        <v>43953</v>
      </c>
      <c r="V15" t="s">
        <v>25</v>
      </c>
      <c r="W15" t="s">
        <v>30</v>
      </c>
    </row>
    <row r="16" spans="1:25" x14ac:dyDescent="0.35">
      <c r="A16">
        <v>1015</v>
      </c>
      <c r="B16" t="s">
        <v>31</v>
      </c>
      <c r="C16" t="s">
        <v>25</v>
      </c>
      <c r="D16" t="s">
        <v>26</v>
      </c>
      <c r="E16" t="s">
        <v>26</v>
      </c>
      <c r="F16" t="s">
        <v>25</v>
      </c>
      <c r="G16" t="s">
        <v>25</v>
      </c>
      <c r="H16" t="s">
        <v>35</v>
      </c>
      <c r="I16" t="s">
        <v>25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48</v>
      </c>
      <c r="P16" t="s">
        <v>26</v>
      </c>
      <c r="Q16">
        <v>59</v>
      </c>
      <c r="R16" t="s">
        <v>39</v>
      </c>
      <c r="S16" s="2">
        <v>72.650000000000006</v>
      </c>
      <c r="T16" s="3">
        <v>2443.94</v>
      </c>
      <c r="U16" s="4">
        <v>44964</v>
      </c>
      <c r="V16" t="s">
        <v>25</v>
      </c>
      <c r="W16" t="s">
        <v>30</v>
      </c>
    </row>
    <row r="17" spans="1:23" x14ac:dyDescent="0.35">
      <c r="A17">
        <v>1016</v>
      </c>
      <c r="B17" t="s">
        <v>34</v>
      </c>
      <c r="C17" t="s">
        <v>25</v>
      </c>
      <c r="D17" t="s">
        <v>25</v>
      </c>
      <c r="E17" t="s">
        <v>25</v>
      </c>
      <c r="F17" t="s">
        <v>26</v>
      </c>
      <c r="G17" t="s">
        <v>25</v>
      </c>
      <c r="H17" t="s">
        <v>27</v>
      </c>
      <c r="I17" t="s">
        <v>26</v>
      </c>
      <c r="J17" t="s">
        <v>25</v>
      </c>
      <c r="K17" t="s">
        <v>26</v>
      </c>
      <c r="L17" t="s">
        <v>25</v>
      </c>
      <c r="M17" t="s">
        <v>26</v>
      </c>
      <c r="N17" t="s">
        <v>25</v>
      </c>
      <c r="O17" t="s">
        <v>28</v>
      </c>
      <c r="P17" t="s">
        <v>25</v>
      </c>
      <c r="Q17">
        <v>55</v>
      </c>
      <c r="R17" t="s">
        <v>49</v>
      </c>
      <c r="S17" s="2">
        <v>84.7</v>
      </c>
      <c r="T17" s="3">
        <v>4653.91</v>
      </c>
      <c r="U17" s="4">
        <v>45002</v>
      </c>
      <c r="V17" t="s">
        <v>25</v>
      </c>
      <c r="W17" t="s">
        <v>30</v>
      </c>
    </row>
    <row r="18" spans="1:23" x14ac:dyDescent="0.35">
      <c r="A18">
        <v>1017</v>
      </c>
      <c r="B18" t="s">
        <v>34</v>
      </c>
      <c r="C18" t="s">
        <v>25</v>
      </c>
      <c r="D18" t="s">
        <v>26</v>
      </c>
      <c r="E18" t="s">
        <v>25</v>
      </c>
      <c r="F18" t="s">
        <v>26</v>
      </c>
      <c r="G18" t="s">
        <v>25</v>
      </c>
      <c r="H18" t="s">
        <v>27</v>
      </c>
      <c r="I18" t="s">
        <v>26</v>
      </c>
      <c r="J18" t="s">
        <v>25</v>
      </c>
      <c r="K18" t="s">
        <v>26</v>
      </c>
      <c r="L18" t="s">
        <v>25</v>
      </c>
      <c r="M18" t="s">
        <v>26</v>
      </c>
      <c r="N18" t="s">
        <v>26</v>
      </c>
      <c r="O18" t="s">
        <v>41</v>
      </c>
      <c r="P18" t="s">
        <v>25</v>
      </c>
      <c r="Q18">
        <v>33</v>
      </c>
      <c r="R18" t="s">
        <v>39</v>
      </c>
      <c r="S18" s="2">
        <v>60.27</v>
      </c>
      <c r="T18" s="3">
        <v>6165.34</v>
      </c>
      <c r="U18" s="4">
        <v>44919</v>
      </c>
      <c r="V18" t="s">
        <v>25</v>
      </c>
      <c r="W18" t="s">
        <v>30</v>
      </c>
    </row>
    <row r="19" spans="1:23" x14ac:dyDescent="0.35">
      <c r="A19">
        <v>1018</v>
      </c>
      <c r="B19" t="s">
        <v>34</v>
      </c>
      <c r="C19" t="s">
        <v>25</v>
      </c>
      <c r="D19" t="s">
        <v>26</v>
      </c>
      <c r="E19" t="s">
        <v>26</v>
      </c>
      <c r="F19" t="s">
        <v>26</v>
      </c>
      <c r="G19" t="s">
        <v>25</v>
      </c>
      <c r="H19" t="s">
        <v>25</v>
      </c>
      <c r="I19" t="s">
        <v>26</v>
      </c>
      <c r="J19" t="s">
        <v>25</v>
      </c>
      <c r="K19" t="s">
        <v>26</v>
      </c>
      <c r="L19" t="s">
        <v>25</v>
      </c>
      <c r="M19" t="s">
        <v>25</v>
      </c>
      <c r="N19" t="s">
        <v>25</v>
      </c>
      <c r="O19" t="s">
        <v>41</v>
      </c>
      <c r="P19" t="s">
        <v>25</v>
      </c>
      <c r="Q19">
        <v>8</v>
      </c>
      <c r="R19" t="s">
        <v>39</v>
      </c>
      <c r="S19" s="2">
        <v>110.59</v>
      </c>
      <c r="T19" s="3">
        <v>7286.05</v>
      </c>
      <c r="U19" s="4">
        <v>45353</v>
      </c>
      <c r="V19" t="s">
        <v>26</v>
      </c>
      <c r="W19" t="s">
        <v>30</v>
      </c>
    </row>
    <row r="20" spans="1:23" x14ac:dyDescent="0.35">
      <c r="A20">
        <v>1019</v>
      </c>
      <c r="B20" t="s">
        <v>31</v>
      </c>
      <c r="C20" t="s">
        <v>25</v>
      </c>
      <c r="D20" t="s">
        <v>26</v>
      </c>
      <c r="E20" t="s">
        <v>25</v>
      </c>
      <c r="F20" t="s">
        <v>26</v>
      </c>
      <c r="G20" t="s">
        <v>25</v>
      </c>
      <c r="H20" t="s">
        <v>35</v>
      </c>
      <c r="I20" t="s">
        <v>26</v>
      </c>
      <c r="J20" t="s">
        <v>25</v>
      </c>
      <c r="K20" t="s">
        <v>26</v>
      </c>
      <c r="L20" t="s">
        <v>25</v>
      </c>
      <c r="M20" t="s">
        <v>25</v>
      </c>
      <c r="N20" t="s">
        <v>25</v>
      </c>
      <c r="O20" t="s">
        <v>28</v>
      </c>
      <c r="P20" t="s">
        <v>25</v>
      </c>
      <c r="Q20">
        <v>43</v>
      </c>
      <c r="R20" t="s">
        <v>39</v>
      </c>
      <c r="S20" s="2">
        <v>87.22</v>
      </c>
      <c r="T20" s="3">
        <v>5466.61</v>
      </c>
      <c r="U20" s="4">
        <v>44456</v>
      </c>
      <c r="V20" t="s">
        <v>26</v>
      </c>
      <c r="W20" t="s">
        <v>30</v>
      </c>
    </row>
    <row r="21" spans="1:23" x14ac:dyDescent="0.35">
      <c r="A21">
        <v>1020</v>
      </c>
      <c r="B21" t="s">
        <v>31</v>
      </c>
      <c r="C21" t="s">
        <v>25</v>
      </c>
      <c r="D21" t="s">
        <v>26</v>
      </c>
      <c r="E21" t="s">
        <v>26</v>
      </c>
      <c r="F21" t="s">
        <v>26</v>
      </c>
      <c r="G21" t="s">
        <v>25</v>
      </c>
      <c r="H21" t="s">
        <v>27</v>
      </c>
      <c r="I21" t="s">
        <v>25</v>
      </c>
      <c r="J21" t="s">
        <v>26</v>
      </c>
      <c r="K21" t="s">
        <v>25</v>
      </c>
      <c r="L21" t="s">
        <v>26</v>
      </c>
      <c r="M21" t="s">
        <v>25</v>
      </c>
      <c r="N21" t="s">
        <v>26</v>
      </c>
      <c r="O21" t="s">
        <v>45</v>
      </c>
      <c r="P21" t="s">
        <v>25</v>
      </c>
      <c r="Q21">
        <v>69</v>
      </c>
      <c r="R21" t="s">
        <v>49</v>
      </c>
      <c r="S21" s="2">
        <v>66.680000000000007</v>
      </c>
      <c r="T21" s="3">
        <v>6010.68</v>
      </c>
      <c r="U21" s="4">
        <v>44795</v>
      </c>
      <c r="V21" t="s">
        <v>25</v>
      </c>
      <c r="W21" t="s">
        <v>30</v>
      </c>
    </row>
    <row r="22" spans="1:23" x14ac:dyDescent="0.35">
      <c r="A22">
        <v>1021</v>
      </c>
      <c r="B22" t="s">
        <v>34</v>
      </c>
      <c r="C22" t="s">
        <v>25</v>
      </c>
      <c r="D22" t="s">
        <v>26</v>
      </c>
      <c r="E22" t="s">
        <v>25</v>
      </c>
      <c r="F22" t="s">
        <v>26</v>
      </c>
      <c r="G22" t="s">
        <v>25</v>
      </c>
      <c r="H22" t="s">
        <v>35</v>
      </c>
      <c r="I22" t="s">
        <v>25</v>
      </c>
      <c r="J22" t="s">
        <v>25</v>
      </c>
      <c r="K22" t="s">
        <v>26</v>
      </c>
      <c r="L22" t="s">
        <v>25</v>
      </c>
      <c r="M22" t="s">
        <v>26</v>
      </c>
      <c r="N22" t="s">
        <v>25</v>
      </c>
      <c r="O22" t="s">
        <v>41</v>
      </c>
      <c r="P22" t="s">
        <v>26</v>
      </c>
      <c r="Q22">
        <v>70</v>
      </c>
      <c r="R22" t="s">
        <v>49</v>
      </c>
      <c r="S22" s="2">
        <v>66.42</v>
      </c>
      <c r="T22" s="3">
        <v>644</v>
      </c>
      <c r="U22" s="4">
        <v>45128</v>
      </c>
      <c r="V22" t="s">
        <v>25</v>
      </c>
      <c r="W22" t="s">
        <v>30</v>
      </c>
    </row>
    <row r="23" spans="1:23" x14ac:dyDescent="0.35">
      <c r="A23">
        <v>1022</v>
      </c>
      <c r="B23" t="s">
        <v>34</v>
      </c>
      <c r="C23" t="s">
        <v>25</v>
      </c>
      <c r="D23" t="s">
        <v>26</v>
      </c>
      <c r="E23" t="s">
        <v>26</v>
      </c>
      <c r="F23" t="s">
        <v>26</v>
      </c>
      <c r="G23" t="s">
        <v>26</v>
      </c>
      <c r="H23" t="s">
        <v>35</v>
      </c>
      <c r="I23" t="s">
        <v>25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41</v>
      </c>
      <c r="P23" t="s">
        <v>26</v>
      </c>
      <c r="Q23">
        <v>61</v>
      </c>
      <c r="R23" t="s">
        <v>33</v>
      </c>
      <c r="S23" s="2">
        <v>46.63</v>
      </c>
      <c r="T23" s="3">
        <v>4336.16</v>
      </c>
      <c r="U23" s="4">
        <v>45419</v>
      </c>
      <c r="V23" t="s">
        <v>26</v>
      </c>
      <c r="W23" t="s">
        <v>30</v>
      </c>
    </row>
    <row r="24" spans="1:23" x14ac:dyDescent="0.35">
      <c r="A24">
        <v>1023</v>
      </c>
      <c r="B24" t="s">
        <v>31</v>
      </c>
      <c r="C24" t="s">
        <v>25</v>
      </c>
      <c r="D24" t="s">
        <v>26</v>
      </c>
      <c r="E24" t="s">
        <v>26</v>
      </c>
      <c r="F24" t="s">
        <v>26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26</v>
      </c>
      <c r="N24" t="s">
        <v>26</v>
      </c>
      <c r="O24" t="s">
        <v>41</v>
      </c>
      <c r="P24" t="s">
        <v>25</v>
      </c>
      <c r="Q24">
        <v>45</v>
      </c>
      <c r="R24" t="s">
        <v>33</v>
      </c>
      <c r="S24" s="2">
        <f>T24/Q24</f>
        <v>60.305999999999997</v>
      </c>
      <c r="T24" s="3">
        <v>2713.77</v>
      </c>
      <c r="U24" s="4">
        <v>45587</v>
      </c>
      <c r="V24" t="s">
        <v>25</v>
      </c>
      <c r="W24" t="s">
        <v>30</v>
      </c>
    </row>
    <row r="25" spans="1:23" x14ac:dyDescent="0.35">
      <c r="A25">
        <v>1024</v>
      </c>
      <c r="B25" t="s">
        <v>34</v>
      </c>
      <c r="C25" t="s">
        <v>25</v>
      </c>
      <c r="D25" t="s">
        <v>25</v>
      </c>
      <c r="E25" t="s">
        <v>25</v>
      </c>
      <c r="F25" t="s">
        <v>26</v>
      </c>
      <c r="G25" t="s">
        <v>25</v>
      </c>
      <c r="H25" t="s">
        <v>25</v>
      </c>
      <c r="I25" t="s">
        <v>26</v>
      </c>
      <c r="J25" t="s">
        <v>26</v>
      </c>
      <c r="K25" t="s">
        <v>25</v>
      </c>
      <c r="L25" t="s">
        <v>25</v>
      </c>
      <c r="M25" t="s">
        <v>26</v>
      </c>
      <c r="N25" t="s">
        <v>26</v>
      </c>
      <c r="O25" t="s">
        <v>41</v>
      </c>
      <c r="P25" t="s">
        <v>26</v>
      </c>
      <c r="Q25">
        <v>52</v>
      </c>
      <c r="R25" t="s">
        <v>49</v>
      </c>
      <c r="S25" s="2">
        <v>57.79</v>
      </c>
      <c r="T25" s="3">
        <v>3434.33</v>
      </c>
      <c r="U25" s="4">
        <v>45148</v>
      </c>
      <c r="V25" t="s">
        <v>25</v>
      </c>
      <c r="W25" t="s">
        <v>50</v>
      </c>
    </row>
    <row r="26" spans="1:23" x14ac:dyDescent="0.35">
      <c r="A26">
        <v>1025</v>
      </c>
      <c r="B26" t="s">
        <v>34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35</v>
      </c>
      <c r="I26" t="s">
        <v>25</v>
      </c>
      <c r="J26" t="s">
        <v>25</v>
      </c>
      <c r="K26" t="s">
        <v>26</v>
      </c>
      <c r="L26" t="s">
        <v>25</v>
      </c>
      <c r="M26" t="s">
        <v>26</v>
      </c>
      <c r="N26" t="s">
        <v>26</v>
      </c>
      <c r="O26" t="s">
        <v>28</v>
      </c>
      <c r="P26" t="s">
        <v>25</v>
      </c>
      <c r="Q26">
        <v>40</v>
      </c>
      <c r="R26" t="s">
        <v>39</v>
      </c>
      <c r="S26" s="2">
        <v>21.13</v>
      </c>
      <c r="T26" s="3">
        <v>6920.12</v>
      </c>
      <c r="U26" s="4">
        <v>44400</v>
      </c>
      <c r="V26" t="s">
        <v>25</v>
      </c>
      <c r="W26" t="s">
        <v>30</v>
      </c>
    </row>
    <row r="27" spans="1:23" x14ac:dyDescent="0.35">
      <c r="A27">
        <v>1026</v>
      </c>
      <c r="B27" t="s">
        <v>31</v>
      </c>
      <c r="C27" t="s">
        <v>25</v>
      </c>
      <c r="D27" t="s">
        <v>26</v>
      </c>
      <c r="E27" t="s">
        <v>25</v>
      </c>
      <c r="F27" t="s">
        <v>26</v>
      </c>
      <c r="G27" t="s">
        <v>25</v>
      </c>
      <c r="H27" t="s">
        <v>25</v>
      </c>
      <c r="I27" t="s">
        <v>25</v>
      </c>
      <c r="J27" t="s">
        <v>26</v>
      </c>
      <c r="K27" t="s">
        <v>25</v>
      </c>
      <c r="L27" t="s">
        <v>25</v>
      </c>
      <c r="M27" t="s">
        <v>25</v>
      </c>
      <c r="N27" t="s">
        <v>26</v>
      </c>
      <c r="O27" t="s">
        <v>28</v>
      </c>
      <c r="P27" t="s">
        <v>25</v>
      </c>
      <c r="Q27">
        <v>26</v>
      </c>
      <c r="R27" t="s">
        <v>39</v>
      </c>
      <c r="S27" s="2">
        <f>T27/Q27</f>
        <v>211.74076923076925</v>
      </c>
      <c r="T27" s="3">
        <v>5505.26</v>
      </c>
      <c r="U27" s="4">
        <v>43985</v>
      </c>
      <c r="V27" t="s">
        <v>25</v>
      </c>
      <c r="W27" t="s">
        <v>30</v>
      </c>
    </row>
    <row r="28" spans="1:23" x14ac:dyDescent="0.35">
      <c r="A28">
        <v>1027</v>
      </c>
      <c r="B28" t="s">
        <v>0</v>
      </c>
      <c r="C28" t="s">
        <v>25</v>
      </c>
      <c r="D28" t="s">
        <v>25</v>
      </c>
      <c r="E28" t="s">
        <v>26</v>
      </c>
      <c r="F28" t="s">
        <v>25</v>
      </c>
      <c r="G28" t="s">
        <v>26</v>
      </c>
      <c r="H28" t="s">
        <v>27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26</v>
      </c>
      <c r="O28" t="s">
        <v>45</v>
      </c>
      <c r="P28" t="s">
        <v>25</v>
      </c>
      <c r="Q28">
        <v>22</v>
      </c>
      <c r="R28" t="s">
        <v>39</v>
      </c>
      <c r="S28" s="2">
        <v>115.47</v>
      </c>
      <c r="T28" s="3">
        <v>7173.88</v>
      </c>
      <c r="U28" s="4">
        <v>45091</v>
      </c>
      <c r="V28" t="s">
        <v>25</v>
      </c>
      <c r="W28" t="s">
        <v>30</v>
      </c>
    </row>
    <row r="29" spans="1:23" x14ac:dyDescent="0.35">
      <c r="A29">
        <v>1028</v>
      </c>
      <c r="B29" t="s">
        <v>34</v>
      </c>
      <c r="C29" t="s">
        <v>25</v>
      </c>
      <c r="D29" t="s">
        <v>26</v>
      </c>
      <c r="E29" t="s">
        <v>26</v>
      </c>
      <c r="F29" t="s">
        <v>26</v>
      </c>
      <c r="G29" t="s">
        <v>25</v>
      </c>
      <c r="H29" t="s">
        <v>35</v>
      </c>
      <c r="I29" t="s">
        <v>25</v>
      </c>
      <c r="J29" t="s">
        <v>25</v>
      </c>
      <c r="K29" t="s">
        <v>25</v>
      </c>
      <c r="L29" t="s">
        <v>26</v>
      </c>
      <c r="M29" t="s">
        <v>25</v>
      </c>
      <c r="N29" t="s">
        <v>25</v>
      </c>
      <c r="O29" t="s">
        <v>28</v>
      </c>
      <c r="P29" t="s">
        <v>26</v>
      </c>
      <c r="Q29">
        <v>7</v>
      </c>
      <c r="R29" t="s">
        <v>29</v>
      </c>
      <c r="S29" s="2">
        <v>61.19</v>
      </c>
      <c r="T29" s="3">
        <v>3875.36</v>
      </c>
      <c r="U29" s="4">
        <v>45373</v>
      </c>
      <c r="V29" t="s">
        <v>25</v>
      </c>
      <c r="W29" t="s">
        <v>30</v>
      </c>
    </row>
    <row r="30" spans="1:23" x14ac:dyDescent="0.35">
      <c r="A30">
        <v>1029</v>
      </c>
      <c r="B30" t="s">
        <v>34</v>
      </c>
      <c r="C30" t="s">
        <v>25</v>
      </c>
      <c r="D30" t="s">
        <v>25</v>
      </c>
      <c r="E30" t="s">
        <v>25</v>
      </c>
      <c r="F30" t="s">
        <v>26</v>
      </c>
      <c r="G30" t="s">
        <v>25</v>
      </c>
      <c r="H30" t="s">
        <v>35</v>
      </c>
      <c r="I30" t="s">
        <v>26</v>
      </c>
      <c r="J30" t="s">
        <v>25</v>
      </c>
      <c r="K30" t="s">
        <v>25</v>
      </c>
      <c r="L30" t="s">
        <v>26</v>
      </c>
      <c r="M30" t="s">
        <v>25</v>
      </c>
      <c r="N30" t="s">
        <v>26</v>
      </c>
      <c r="O30" t="s">
        <v>41</v>
      </c>
      <c r="P30" t="s">
        <v>25</v>
      </c>
      <c r="Q30">
        <v>51</v>
      </c>
      <c r="R30" t="s">
        <v>29</v>
      </c>
      <c r="S30" s="2">
        <v>106.13</v>
      </c>
      <c r="T30" s="3">
        <v>5453.2</v>
      </c>
      <c r="U30" s="4">
        <v>45151</v>
      </c>
      <c r="V30" t="s">
        <v>25</v>
      </c>
      <c r="W30" t="s">
        <v>30</v>
      </c>
    </row>
    <row r="31" spans="1:23" x14ac:dyDescent="0.35">
      <c r="A31">
        <v>1030</v>
      </c>
      <c r="B31" t="s">
        <v>31</v>
      </c>
      <c r="C31" t="s">
        <v>25</v>
      </c>
      <c r="D31" t="s">
        <v>25</v>
      </c>
      <c r="E31" t="s">
        <v>26</v>
      </c>
      <c r="F31" t="s">
        <v>26</v>
      </c>
      <c r="G31" t="s">
        <v>25</v>
      </c>
      <c r="H31" t="s">
        <v>27</v>
      </c>
      <c r="I31" t="s">
        <v>26</v>
      </c>
      <c r="J31" t="s">
        <v>25</v>
      </c>
      <c r="K31" t="s">
        <v>25</v>
      </c>
      <c r="L31" t="s">
        <v>26</v>
      </c>
      <c r="M31" t="s">
        <v>25</v>
      </c>
      <c r="N31" t="s">
        <v>25</v>
      </c>
      <c r="O31" t="s">
        <v>41</v>
      </c>
      <c r="P31" t="s">
        <v>25</v>
      </c>
      <c r="Q31">
        <v>29</v>
      </c>
      <c r="R31" t="s">
        <v>49</v>
      </c>
      <c r="S31" s="2">
        <v>66.989999999999995</v>
      </c>
      <c r="T31" s="3">
        <v>1252.83</v>
      </c>
      <c r="U31" s="4">
        <v>45278</v>
      </c>
      <c r="V31" t="s">
        <v>25</v>
      </c>
      <c r="W31" t="s">
        <v>30</v>
      </c>
    </row>
    <row r="32" spans="1:23" x14ac:dyDescent="0.35">
      <c r="A32">
        <v>1031</v>
      </c>
      <c r="B32" t="s">
        <v>31</v>
      </c>
      <c r="C32" t="s">
        <v>25</v>
      </c>
      <c r="D32" t="s">
        <v>25</v>
      </c>
      <c r="E32" t="s">
        <v>25</v>
      </c>
      <c r="F32" t="s">
        <v>26</v>
      </c>
      <c r="G32" t="s">
        <v>26</v>
      </c>
      <c r="H32" t="s">
        <v>27</v>
      </c>
      <c r="I32" t="s">
        <v>25</v>
      </c>
      <c r="J32" t="s">
        <v>25</v>
      </c>
      <c r="K32" t="s">
        <v>26</v>
      </c>
      <c r="L32" t="s">
        <v>25</v>
      </c>
      <c r="M32" t="s">
        <v>25</v>
      </c>
      <c r="N32" t="s">
        <v>25</v>
      </c>
      <c r="O32" t="s">
        <v>41</v>
      </c>
      <c r="P32" t="s">
        <v>26</v>
      </c>
      <c r="Q32">
        <v>40</v>
      </c>
      <c r="R32" t="s">
        <v>33</v>
      </c>
      <c r="S32" s="2">
        <v>68.61</v>
      </c>
      <c r="T32" s="3">
        <v>552.63</v>
      </c>
      <c r="U32" s="4">
        <v>44752</v>
      </c>
      <c r="V32" t="s">
        <v>25</v>
      </c>
      <c r="W32" t="s">
        <v>30</v>
      </c>
    </row>
    <row r="33" spans="1:23" x14ac:dyDescent="0.35">
      <c r="A33">
        <v>1032</v>
      </c>
      <c r="B33" t="s">
        <v>31</v>
      </c>
      <c r="C33" t="s">
        <v>25</v>
      </c>
      <c r="D33" t="s">
        <v>26</v>
      </c>
      <c r="E33" t="s">
        <v>25</v>
      </c>
      <c r="F33" t="s">
        <v>26</v>
      </c>
      <c r="G33" t="s">
        <v>26</v>
      </c>
      <c r="H33" t="s">
        <v>35</v>
      </c>
      <c r="I33" t="s">
        <v>26</v>
      </c>
      <c r="J33" t="s">
        <v>25</v>
      </c>
      <c r="K33" t="s">
        <v>25</v>
      </c>
      <c r="L33" t="s">
        <v>26</v>
      </c>
      <c r="M33" t="s">
        <v>25</v>
      </c>
      <c r="N33" t="s">
        <v>26</v>
      </c>
      <c r="O33" t="s">
        <v>48</v>
      </c>
      <c r="P33" t="s">
        <v>26</v>
      </c>
      <c r="Q33">
        <v>67</v>
      </c>
      <c r="R33" t="s">
        <v>39</v>
      </c>
      <c r="S33" s="2">
        <v>41.01</v>
      </c>
      <c r="T33" s="3">
        <v>1817.01</v>
      </c>
      <c r="U33" s="4">
        <v>44246</v>
      </c>
      <c r="V33" t="s">
        <v>25</v>
      </c>
      <c r="W33" t="s">
        <v>30</v>
      </c>
    </row>
    <row r="34" spans="1:23" x14ac:dyDescent="0.35">
      <c r="A34">
        <v>1033</v>
      </c>
      <c r="B34" t="s">
        <v>31</v>
      </c>
      <c r="C34" t="s">
        <v>25</v>
      </c>
      <c r="D34" t="s">
        <v>25</v>
      </c>
      <c r="E34" t="s">
        <v>25</v>
      </c>
      <c r="F34" t="s">
        <v>26</v>
      </c>
      <c r="G34" t="s">
        <v>26</v>
      </c>
      <c r="H34" t="s">
        <v>25</v>
      </c>
      <c r="I34" t="s">
        <v>25</v>
      </c>
      <c r="J34" t="s">
        <v>25</v>
      </c>
      <c r="K34" t="s">
        <v>26</v>
      </c>
      <c r="L34" t="s">
        <v>25</v>
      </c>
      <c r="M34" t="s">
        <v>25</v>
      </c>
      <c r="N34" t="s">
        <v>25</v>
      </c>
      <c r="O34" t="s">
        <v>28</v>
      </c>
      <c r="P34" t="s">
        <v>26</v>
      </c>
      <c r="Q34">
        <v>17</v>
      </c>
      <c r="R34" t="s">
        <v>39</v>
      </c>
      <c r="S34" s="2">
        <v>40.19</v>
      </c>
      <c r="T34" s="3">
        <v>5921.9</v>
      </c>
      <c r="U34" s="4">
        <v>45213</v>
      </c>
      <c r="V34" t="s">
        <v>25</v>
      </c>
      <c r="W34" t="s">
        <v>30</v>
      </c>
    </row>
    <row r="35" spans="1:23" x14ac:dyDescent="0.35">
      <c r="A35">
        <v>1034</v>
      </c>
      <c r="B35" t="s">
        <v>31</v>
      </c>
      <c r="C35" t="s">
        <v>25</v>
      </c>
      <c r="D35" t="s">
        <v>26</v>
      </c>
      <c r="E35" t="s">
        <v>25</v>
      </c>
      <c r="F35" t="s">
        <v>26</v>
      </c>
      <c r="G35" t="s">
        <v>26</v>
      </c>
      <c r="H35" t="s">
        <v>25</v>
      </c>
      <c r="I35" t="s">
        <v>25</v>
      </c>
      <c r="J35" t="s">
        <v>26</v>
      </c>
      <c r="K35" t="s">
        <v>25</v>
      </c>
      <c r="L35" t="s">
        <v>25</v>
      </c>
      <c r="M35" t="s">
        <v>25</v>
      </c>
      <c r="N35" t="s">
        <v>26</v>
      </c>
      <c r="O35" t="s">
        <v>28</v>
      </c>
      <c r="P35" t="s">
        <v>25</v>
      </c>
      <c r="Q35">
        <v>11</v>
      </c>
      <c r="R35" t="s">
        <v>39</v>
      </c>
      <c r="S35" s="2">
        <v>21.46</v>
      </c>
      <c r="T35" s="3">
        <v>360.46</v>
      </c>
      <c r="U35" s="4">
        <v>44279</v>
      </c>
      <c r="V35" t="s">
        <v>25</v>
      </c>
      <c r="W35" t="s">
        <v>30</v>
      </c>
    </row>
    <row r="36" spans="1:23" x14ac:dyDescent="0.35">
      <c r="A36">
        <v>1035</v>
      </c>
      <c r="B36" t="s">
        <v>34</v>
      </c>
      <c r="C36" t="s">
        <v>25</v>
      </c>
      <c r="D36" t="s">
        <v>26</v>
      </c>
      <c r="E36" t="s">
        <v>25</v>
      </c>
      <c r="F36" t="s">
        <v>25</v>
      </c>
      <c r="G36" t="s">
        <v>25</v>
      </c>
      <c r="H36" t="s">
        <v>27</v>
      </c>
      <c r="I36" t="s">
        <v>26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41</v>
      </c>
      <c r="P36" t="s">
        <v>26</v>
      </c>
      <c r="Q36">
        <v>41</v>
      </c>
      <c r="R36" t="s">
        <v>33</v>
      </c>
      <c r="S36" s="2">
        <v>38.79</v>
      </c>
      <c r="T36" s="3">
        <v>2093.59</v>
      </c>
      <c r="U36" s="4">
        <v>44311</v>
      </c>
      <c r="V36" t="s">
        <v>25</v>
      </c>
      <c r="W36" t="s">
        <v>30</v>
      </c>
    </row>
    <row r="37" spans="1:23" x14ac:dyDescent="0.35">
      <c r="A37">
        <v>1036</v>
      </c>
      <c r="B37" t="s">
        <v>34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35</v>
      </c>
      <c r="I37" t="s">
        <v>26</v>
      </c>
      <c r="J37" t="s">
        <v>26</v>
      </c>
      <c r="K37" t="s">
        <v>25</v>
      </c>
      <c r="L37" t="s">
        <v>25</v>
      </c>
      <c r="M37" t="s">
        <v>25</v>
      </c>
      <c r="N37" t="s">
        <v>25</v>
      </c>
      <c r="O37" t="s">
        <v>41</v>
      </c>
      <c r="P37" t="s">
        <v>25</v>
      </c>
      <c r="Q37">
        <v>62</v>
      </c>
      <c r="R37" t="s">
        <v>39</v>
      </c>
      <c r="S37" s="2">
        <v>61.86</v>
      </c>
      <c r="T37" s="3">
        <f>S37*Q37</f>
        <v>3835.32</v>
      </c>
      <c r="U37" s="4">
        <v>45179</v>
      </c>
      <c r="V37" t="s">
        <v>25</v>
      </c>
      <c r="W37" t="s">
        <v>30</v>
      </c>
    </row>
    <row r="38" spans="1:23" x14ac:dyDescent="0.35">
      <c r="A38">
        <v>1037</v>
      </c>
      <c r="B38" t="s">
        <v>34</v>
      </c>
      <c r="C38" t="s">
        <v>25</v>
      </c>
      <c r="D38" t="s">
        <v>25</v>
      </c>
      <c r="E38" t="s">
        <v>26</v>
      </c>
      <c r="F38" t="s">
        <v>26</v>
      </c>
      <c r="G38" t="s">
        <v>25</v>
      </c>
      <c r="H38" t="s">
        <v>27</v>
      </c>
      <c r="I38" t="s">
        <v>26</v>
      </c>
      <c r="J38" t="s">
        <v>26</v>
      </c>
      <c r="K38" t="s">
        <v>26</v>
      </c>
      <c r="L38" t="s">
        <v>25</v>
      </c>
      <c r="M38" t="s">
        <v>26</v>
      </c>
      <c r="N38" t="s">
        <v>26</v>
      </c>
      <c r="O38" t="s">
        <v>28</v>
      </c>
      <c r="P38" t="s">
        <v>26</v>
      </c>
      <c r="Q38">
        <v>46</v>
      </c>
      <c r="R38" t="s">
        <v>39</v>
      </c>
      <c r="S38" s="2">
        <v>96.94</v>
      </c>
      <c r="T38" s="3">
        <v>2840.14</v>
      </c>
      <c r="U38" s="4">
        <v>44558</v>
      </c>
      <c r="V38" t="s">
        <v>25</v>
      </c>
      <c r="W38" t="s">
        <v>30</v>
      </c>
    </row>
    <row r="39" spans="1:23" x14ac:dyDescent="0.35">
      <c r="A39">
        <v>1038</v>
      </c>
      <c r="B39" t="s">
        <v>34</v>
      </c>
      <c r="C39" t="s">
        <v>25</v>
      </c>
      <c r="D39" t="s">
        <v>26</v>
      </c>
      <c r="E39" t="s">
        <v>25</v>
      </c>
      <c r="F39" t="s">
        <v>26</v>
      </c>
      <c r="G39" t="s">
        <v>25</v>
      </c>
      <c r="H39" t="s">
        <v>27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</v>
      </c>
      <c r="O39" t="s">
        <v>48</v>
      </c>
      <c r="P39" t="s">
        <v>26</v>
      </c>
      <c r="Q39">
        <v>9</v>
      </c>
      <c r="R39" t="s">
        <v>33</v>
      </c>
      <c r="S39" s="2">
        <v>92.52</v>
      </c>
      <c r="T39" s="3">
        <v>6679.95</v>
      </c>
      <c r="U39" s="4">
        <v>44303</v>
      </c>
      <c r="V39" t="s">
        <v>25</v>
      </c>
      <c r="W39" t="s">
        <v>30</v>
      </c>
    </row>
    <row r="40" spans="1:23" x14ac:dyDescent="0.35">
      <c r="A40">
        <v>1039</v>
      </c>
      <c r="B40" t="s">
        <v>34</v>
      </c>
      <c r="C40" t="s">
        <v>26</v>
      </c>
      <c r="D40" t="s">
        <v>25</v>
      </c>
      <c r="E40" t="s">
        <v>25</v>
      </c>
      <c r="F40" t="s">
        <v>26</v>
      </c>
      <c r="G40" t="s">
        <v>25</v>
      </c>
      <c r="H40" t="s">
        <v>35</v>
      </c>
      <c r="I40" t="s">
        <v>26</v>
      </c>
      <c r="J40" t="s">
        <v>25</v>
      </c>
      <c r="K40" t="s">
        <v>26</v>
      </c>
      <c r="L40" t="s">
        <v>25</v>
      </c>
      <c r="M40" t="s">
        <v>25</v>
      </c>
      <c r="N40" t="s">
        <v>25</v>
      </c>
      <c r="O40" t="s">
        <v>45</v>
      </c>
      <c r="P40" t="s">
        <v>26</v>
      </c>
      <c r="Q40">
        <v>5</v>
      </c>
      <c r="R40" t="s">
        <v>49</v>
      </c>
      <c r="S40" s="2">
        <v>20.66</v>
      </c>
      <c r="T40" s="3">
        <v>1060.08</v>
      </c>
      <c r="U40" s="4">
        <v>43906</v>
      </c>
      <c r="V40" t="s">
        <v>25</v>
      </c>
      <c r="W40" t="s">
        <v>30</v>
      </c>
    </row>
    <row r="41" spans="1:23" x14ac:dyDescent="0.35">
      <c r="A41">
        <v>1040</v>
      </c>
      <c r="B41" t="s">
        <v>34</v>
      </c>
      <c r="C41" t="s">
        <v>25</v>
      </c>
      <c r="D41" t="s">
        <v>25</v>
      </c>
      <c r="E41" t="s">
        <v>25</v>
      </c>
      <c r="F41" t="s">
        <v>26</v>
      </c>
      <c r="G41" t="s">
        <v>25</v>
      </c>
      <c r="H41" t="s">
        <v>27</v>
      </c>
      <c r="I41" t="s">
        <v>25</v>
      </c>
      <c r="J41" t="s">
        <v>25</v>
      </c>
      <c r="K41" t="s">
        <v>25</v>
      </c>
      <c r="L41" t="s">
        <v>26</v>
      </c>
      <c r="M41" t="s">
        <v>26</v>
      </c>
      <c r="N41" t="s">
        <v>26</v>
      </c>
      <c r="O41" t="s">
        <v>28</v>
      </c>
      <c r="P41" t="s">
        <v>25</v>
      </c>
      <c r="Q41">
        <v>29</v>
      </c>
      <c r="R41" t="s">
        <v>33</v>
      </c>
      <c r="S41" s="2">
        <v>39.6</v>
      </c>
      <c r="T41" s="3">
        <v>585</v>
      </c>
      <c r="U41" s="4">
        <v>44614</v>
      </c>
      <c r="V41" t="s">
        <v>25</v>
      </c>
      <c r="W41" t="s">
        <v>50</v>
      </c>
    </row>
    <row r="42" spans="1:23" x14ac:dyDescent="0.35">
      <c r="A42">
        <v>1041</v>
      </c>
      <c r="B42" t="s">
        <v>31</v>
      </c>
      <c r="C42" t="s">
        <v>25</v>
      </c>
      <c r="D42" t="s">
        <v>26</v>
      </c>
      <c r="E42" t="s">
        <v>26</v>
      </c>
      <c r="F42" t="s">
        <v>26</v>
      </c>
      <c r="G42" t="s">
        <v>26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41</v>
      </c>
      <c r="P42" t="s">
        <v>26</v>
      </c>
      <c r="Q42">
        <v>53</v>
      </c>
      <c r="R42" t="s">
        <v>29</v>
      </c>
      <c r="S42" s="2">
        <v>25.71</v>
      </c>
      <c r="T42" s="3">
        <v>7052.53</v>
      </c>
      <c r="U42" s="4">
        <v>45435</v>
      </c>
      <c r="V42" t="s">
        <v>25</v>
      </c>
      <c r="W42" t="s">
        <v>30</v>
      </c>
    </row>
    <row r="43" spans="1:23" x14ac:dyDescent="0.35">
      <c r="A43">
        <v>1042</v>
      </c>
      <c r="B43" t="s">
        <v>31</v>
      </c>
      <c r="C43" t="s">
        <v>25</v>
      </c>
      <c r="D43" t="s">
        <v>25</v>
      </c>
      <c r="E43" t="s">
        <v>25</v>
      </c>
      <c r="F43" t="s">
        <v>26</v>
      </c>
      <c r="G43" t="s">
        <v>26</v>
      </c>
      <c r="H43" t="s">
        <v>27</v>
      </c>
      <c r="I43" t="s">
        <v>25</v>
      </c>
      <c r="J43" t="s">
        <v>25</v>
      </c>
      <c r="K43" t="s">
        <v>25</v>
      </c>
      <c r="L43" t="s">
        <v>26</v>
      </c>
      <c r="M43" t="s">
        <v>25</v>
      </c>
      <c r="N43" t="s">
        <v>26</v>
      </c>
      <c r="O43" t="s">
        <v>41</v>
      </c>
      <c r="P43" t="s">
        <v>25</v>
      </c>
      <c r="Q43">
        <v>29</v>
      </c>
      <c r="R43" t="s">
        <v>39</v>
      </c>
      <c r="S43" s="2">
        <v>73.319999999999993</v>
      </c>
      <c r="T43" s="3">
        <v>5559.58</v>
      </c>
      <c r="U43" s="4">
        <v>44365</v>
      </c>
      <c r="V43" t="s">
        <v>25</v>
      </c>
      <c r="W43" t="s">
        <v>30</v>
      </c>
    </row>
    <row r="44" spans="1:23" x14ac:dyDescent="0.35">
      <c r="A44">
        <v>1043</v>
      </c>
      <c r="B44" t="s">
        <v>0</v>
      </c>
      <c r="C44" t="s">
        <v>25</v>
      </c>
      <c r="D44" t="s">
        <v>26</v>
      </c>
      <c r="E44" t="s">
        <v>26</v>
      </c>
      <c r="F44" t="s">
        <v>25</v>
      </c>
      <c r="G44" t="s">
        <v>26</v>
      </c>
      <c r="H44" t="s">
        <v>35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41</v>
      </c>
      <c r="P44" t="s">
        <v>25</v>
      </c>
      <c r="Q44">
        <v>56</v>
      </c>
      <c r="R44" t="s">
        <v>33</v>
      </c>
      <c r="S44" s="2">
        <v>76.709999999999994</v>
      </c>
      <c r="T44" s="3">
        <v>7882.75</v>
      </c>
      <c r="U44" s="4">
        <v>45288</v>
      </c>
      <c r="V44" t="s">
        <v>25</v>
      </c>
      <c r="W44" t="s">
        <v>30</v>
      </c>
    </row>
    <row r="45" spans="1:23" x14ac:dyDescent="0.35">
      <c r="A45">
        <v>1044</v>
      </c>
      <c r="B45" t="s">
        <v>34</v>
      </c>
      <c r="C45" t="s">
        <v>26</v>
      </c>
      <c r="D45" t="s">
        <v>25</v>
      </c>
      <c r="E45" t="s">
        <v>25</v>
      </c>
      <c r="F45" t="s">
        <v>26</v>
      </c>
      <c r="G45" t="s">
        <v>26</v>
      </c>
      <c r="H45" t="s">
        <v>35</v>
      </c>
      <c r="I45" t="s">
        <v>25</v>
      </c>
      <c r="J45" t="s">
        <v>26</v>
      </c>
      <c r="K45" t="s">
        <v>25</v>
      </c>
      <c r="L45" t="s">
        <v>26</v>
      </c>
      <c r="M45" t="s">
        <v>25</v>
      </c>
      <c r="N45" t="s">
        <v>25</v>
      </c>
      <c r="O45" t="s">
        <v>45</v>
      </c>
      <c r="P45" t="s">
        <v>26</v>
      </c>
      <c r="Q45">
        <v>5</v>
      </c>
      <c r="R45" t="s">
        <v>39</v>
      </c>
      <c r="S45" s="2">
        <v>80.180000000000007</v>
      </c>
      <c r="T45" s="3">
        <v>2801.27</v>
      </c>
      <c r="U45" s="4">
        <v>44980</v>
      </c>
      <c r="V45" t="s">
        <v>26</v>
      </c>
      <c r="W45" t="s">
        <v>30</v>
      </c>
    </row>
    <row r="46" spans="1:23" x14ac:dyDescent="0.35">
      <c r="A46">
        <v>1045</v>
      </c>
      <c r="B46" t="s">
        <v>34</v>
      </c>
      <c r="C46" t="s">
        <v>25</v>
      </c>
      <c r="D46" t="s">
        <v>26</v>
      </c>
      <c r="E46" t="s">
        <v>26</v>
      </c>
      <c r="F46" t="s">
        <v>26</v>
      </c>
      <c r="G46" t="s">
        <v>26</v>
      </c>
      <c r="H46" t="s">
        <v>27</v>
      </c>
      <c r="I46" t="s">
        <v>26</v>
      </c>
      <c r="J46" t="s">
        <v>26</v>
      </c>
      <c r="K46" t="s">
        <v>25</v>
      </c>
      <c r="L46" t="s">
        <v>25</v>
      </c>
      <c r="M46" t="s">
        <v>26</v>
      </c>
      <c r="N46" t="s">
        <v>25</v>
      </c>
      <c r="O46" t="s">
        <v>41</v>
      </c>
      <c r="P46" t="s">
        <v>26</v>
      </c>
      <c r="Q46">
        <v>12</v>
      </c>
      <c r="R46" t="s">
        <v>49</v>
      </c>
      <c r="S46" s="2">
        <v>91.28</v>
      </c>
      <c r="T46" s="3">
        <v>829.16</v>
      </c>
      <c r="U46" s="4">
        <v>44341</v>
      </c>
      <c r="V46" t="s">
        <v>25</v>
      </c>
      <c r="W46" t="s">
        <v>30</v>
      </c>
    </row>
    <row r="47" spans="1:23" x14ac:dyDescent="0.35">
      <c r="A47">
        <v>1046</v>
      </c>
      <c r="B47" t="s">
        <v>34</v>
      </c>
      <c r="C47" t="s">
        <v>25</v>
      </c>
      <c r="D47" t="s">
        <v>25</v>
      </c>
      <c r="E47" t="s">
        <v>26</v>
      </c>
      <c r="F47" t="s">
        <v>26</v>
      </c>
      <c r="G47" t="s">
        <v>26</v>
      </c>
      <c r="H47" t="s">
        <v>27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26</v>
      </c>
      <c r="O47" t="s">
        <v>41</v>
      </c>
      <c r="P47" t="s">
        <v>25</v>
      </c>
      <c r="Q47">
        <v>23</v>
      </c>
      <c r="R47" t="s">
        <v>39</v>
      </c>
      <c r="S47" s="2">
        <v>43.66</v>
      </c>
      <c r="T47" s="3">
        <v>7801.95</v>
      </c>
      <c r="U47" s="4">
        <v>44982</v>
      </c>
      <c r="V47" t="s">
        <v>25</v>
      </c>
      <c r="W47" t="s">
        <v>30</v>
      </c>
    </row>
    <row r="48" spans="1:23" x14ac:dyDescent="0.35">
      <c r="A48">
        <v>1047</v>
      </c>
      <c r="B48" t="s">
        <v>34</v>
      </c>
      <c r="C48" t="s">
        <v>25</v>
      </c>
      <c r="D48" t="s">
        <v>25</v>
      </c>
      <c r="E48" t="s">
        <v>25</v>
      </c>
      <c r="F48" t="s">
        <v>26</v>
      </c>
      <c r="G48" t="s">
        <v>26</v>
      </c>
      <c r="H48" t="s">
        <v>27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26</v>
      </c>
      <c r="O48" t="s">
        <v>41</v>
      </c>
      <c r="P48" t="s">
        <v>25</v>
      </c>
      <c r="Q48">
        <v>54</v>
      </c>
      <c r="R48" t="s">
        <v>29</v>
      </c>
      <c r="S48" s="2">
        <v>87.32</v>
      </c>
      <c r="T48" s="3">
        <v>5748.82</v>
      </c>
      <c r="U48" s="4">
        <v>45043</v>
      </c>
      <c r="V48" t="s">
        <v>25</v>
      </c>
      <c r="W48" t="s">
        <v>30</v>
      </c>
    </row>
    <row r="49" spans="1:23" x14ac:dyDescent="0.35">
      <c r="A49">
        <v>1048</v>
      </c>
      <c r="B49" t="s">
        <v>34</v>
      </c>
      <c r="C49" t="s">
        <v>25</v>
      </c>
      <c r="D49" t="s">
        <v>25</v>
      </c>
      <c r="E49" t="s">
        <v>26</v>
      </c>
      <c r="F49" t="s">
        <v>26</v>
      </c>
      <c r="G49" t="s">
        <v>26</v>
      </c>
      <c r="H49" t="s">
        <v>35</v>
      </c>
      <c r="I49" t="s">
        <v>25</v>
      </c>
      <c r="J49" t="s">
        <v>26</v>
      </c>
      <c r="K49" t="s">
        <v>26</v>
      </c>
      <c r="L49" t="s">
        <v>25</v>
      </c>
      <c r="M49" t="s">
        <v>26</v>
      </c>
      <c r="N49" t="s">
        <v>26</v>
      </c>
      <c r="O49" t="s">
        <v>41</v>
      </c>
      <c r="P49" t="s">
        <v>26</v>
      </c>
      <c r="Q49">
        <v>0</v>
      </c>
      <c r="R49" t="s">
        <v>33</v>
      </c>
      <c r="S49" s="2">
        <v>0</v>
      </c>
      <c r="T49" s="3">
        <v>7668.63</v>
      </c>
      <c r="U49" s="4">
        <v>44593</v>
      </c>
      <c r="V49" t="s">
        <v>25</v>
      </c>
      <c r="W49" t="s">
        <v>30</v>
      </c>
    </row>
    <row r="50" spans="1:23" x14ac:dyDescent="0.35">
      <c r="A50">
        <v>1049</v>
      </c>
      <c r="B50" t="s">
        <v>31</v>
      </c>
      <c r="C50" t="s">
        <v>25</v>
      </c>
      <c r="D50" t="s">
        <v>25</v>
      </c>
      <c r="E50" t="s">
        <v>26</v>
      </c>
      <c r="F50" t="s">
        <v>26</v>
      </c>
      <c r="G50" t="s">
        <v>25</v>
      </c>
      <c r="H50" t="s">
        <v>25</v>
      </c>
      <c r="I50" t="s">
        <v>26</v>
      </c>
      <c r="J50" t="s">
        <v>25</v>
      </c>
      <c r="K50" t="s">
        <v>26</v>
      </c>
      <c r="L50" t="s">
        <v>25</v>
      </c>
      <c r="M50" t="s">
        <v>25</v>
      </c>
      <c r="N50" t="s">
        <v>25</v>
      </c>
      <c r="O50" t="s">
        <v>41</v>
      </c>
      <c r="P50" t="s">
        <v>26</v>
      </c>
      <c r="Q50">
        <v>60</v>
      </c>
      <c r="R50" t="s">
        <v>49</v>
      </c>
      <c r="S50" s="2">
        <v>97.76</v>
      </c>
      <c r="T50" s="3">
        <v>2959.62</v>
      </c>
      <c r="U50" s="4">
        <v>45375</v>
      </c>
      <c r="V50" t="s">
        <v>25</v>
      </c>
      <c r="W50" t="s">
        <v>30</v>
      </c>
    </row>
    <row r="51" spans="1:23" x14ac:dyDescent="0.35">
      <c r="A51">
        <v>1050</v>
      </c>
      <c r="B51" t="s">
        <v>31</v>
      </c>
      <c r="C51" t="s">
        <v>25</v>
      </c>
      <c r="D51" t="s">
        <v>26</v>
      </c>
      <c r="E51" t="s">
        <v>25</v>
      </c>
      <c r="F51" t="s">
        <v>25</v>
      </c>
      <c r="G51" t="s">
        <v>25</v>
      </c>
      <c r="H51" t="s">
        <v>35</v>
      </c>
      <c r="I51" t="s">
        <v>26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42</v>
      </c>
      <c r="P51" t="s">
        <v>26</v>
      </c>
      <c r="Q51">
        <v>33</v>
      </c>
      <c r="R51" t="s">
        <v>33</v>
      </c>
      <c r="S51" s="2">
        <v>85.07</v>
      </c>
      <c r="T51" s="3">
        <f>S51*Q51</f>
        <v>2807.31</v>
      </c>
      <c r="U51" s="4">
        <v>44704</v>
      </c>
      <c r="V51" t="s">
        <v>25</v>
      </c>
      <c r="W51" t="s">
        <v>30</v>
      </c>
    </row>
    <row r="52" spans="1:23" x14ac:dyDescent="0.35">
      <c r="A52">
        <v>1051</v>
      </c>
      <c r="B52" t="s">
        <v>31</v>
      </c>
      <c r="C52" t="s">
        <v>26</v>
      </c>
      <c r="D52" t="s">
        <v>25</v>
      </c>
      <c r="E52" t="s">
        <v>26</v>
      </c>
      <c r="F52" t="s">
        <v>26</v>
      </c>
      <c r="G52" t="s">
        <v>25</v>
      </c>
      <c r="H52" t="s">
        <v>25</v>
      </c>
      <c r="I52" t="s">
        <v>25</v>
      </c>
      <c r="J52" t="s">
        <v>26</v>
      </c>
      <c r="K52" t="s">
        <v>26</v>
      </c>
      <c r="L52" t="s">
        <v>25</v>
      </c>
      <c r="M52" t="s">
        <v>25</v>
      </c>
      <c r="N52" t="s">
        <v>25</v>
      </c>
      <c r="O52" t="s">
        <v>41</v>
      </c>
      <c r="P52" t="s">
        <v>26</v>
      </c>
      <c r="Q52">
        <v>52</v>
      </c>
      <c r="R52" t="s">
        <v>29</v>
      </c>
      <c r="S52" s="2">
        <v>73.400000000000006</v>
      </c>
      <c r="T52" s="3">
        <v>3341.2</v>
      </c>
      <c r="U52" s="4">
        <v>44656</v>
      </c>
      <c r="V52" t="s">
        <v>25</v>
      </c>
      <c r="W52" t="s">
        <v>30</v>
      </c>
    </row>
    <row r="53" spans="1:23" x14ac:dyDescent="0.35">
      <c r="A53">
        <v>1052</v>
      </c>
      <c r="B53" t="s">
        <v>31</v>
      </c>
      <c r="C53" t="s">
        <v>25</v>
      </c>
      <c r="D53" t="s">
        <v>25</v>
      </c>
      <c r="E53" t="s">
        <v>26</v>
      </c>
      <c r="F53" t="s">
        <v>26</v>
      </c>
      <c r="G53" t="s">
        <v>25</v>
      </c>
      <c r="H53" t="s">
        <v>27</v>
      </c>
      <c r="I53" t="s">
        <v>26</v>
      </c>
      <c r="J53" t="s">
        <v>25</v>
      </c>
      <c r="K53" t="s">
        <v>26</v>
      </c>
      <c r="L53" t="s">
        <v>26</v>
      </c>
      <c r="M53" t="s">
        <v>25</v>
      </c>
      <c r="N53" t="s">
        <v>26</v>
      </c>
      <c r="O53" t="s">
        <v>41</v>
      </c>
      <c r="P53" t="s">
        <v>26</v>
      </c>
      <c r="Q53">
        <v>71</v>
      </c>
      <c r="R53" t="s">
        <v>49</v>
      </c>
      <c r="S53" s="2">
        <v>22.42</v>
      </c>
      <c r="T53" s="3">
        <v>7851.33</v>
      </c>
      <c r="U53" s="4">
        <v>43915</v>
      </c>
      <c r="V53" t="s">
        <v>25</v>
      </c>
      <c r="W53" t="s">
        <v>30</v>
      </c>
    </row>
    <row r="54" spans="1:23" x14ac:dyDescent="0.35">
      <c r="A54">
        <v>1053</v>
      </c>
      <c r="B54" t="s">
        <v>34</v>
      </c>
      <c r="C54" t="s">
        <v>26</v>
      </c>
      <c r="D54" t="s">
        <v>25</v>
      </c>
      <c r="E54" t="s">
        <v>26</v>
      </c>
      <c r="F54" t="s">
        <v>26</v>
      </c>
      <c r="G54" t="s">
        <v>25</v>
      </c>
      <c r="H54" t="s">
        <v>27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26</v>
      </c>
      <c r="O54" t="s">
        <v>41</v>
      </c>
      <c r="P54" t="s">
        <v>25</v>
      </c>
      <c r="Q54">
        <v>40</v>
      </c>
      <c r="R54" t="s">
        <v>39</v>
      </c>
      <c r="S54" s="2">
        <v>75.91</v>
      </c>
      <c r="T54" s="3">
        <v>3156.69</v>
      </c>
      <c r="U54" s="4">
        <v>44756</v>
      </c>
      <c r="V54" t="s">
        <v>25</v>
      </c>
      <c r="W54" t="s">
        <v>30</v>
      </c>
    </row>
    <row r="55" spans="1:23" x14ac:dyDescent="0.35">
      <c r="A55">
        <v>1054</v>
      </c>
      <c r="B55" t="s">
        <v>31</v>
      </c>
      <c r="C55" t="s">
        <v>26</v>
      </c>
      <c r="D55" t="s">
        <v>25</v>
      </c>
      <c r="E55" t="s">
        <v>26</v>
      </c>
      <c r="F55" t="s">
        <v>25</v>
      </c>
      <c r="G55" t="s">
        <v>25</v>
      </c>
      <c r="H55" t="s">
        <v>35</v>
      </c>
      <c r="I55" t="s">
        <v>25</v>
      </c>
      <c r="J55" t="s">
        <v>25</v>
      </c>
      <c r="K55" t="s">
        <v>25</v>
      </c>
      <c r="L55" t="s">
        <v>26</v>
      </c>
      <c r="M55" t="s">
        <v>26</v>
      </c>
      <c r="N55" t="s">
        <v>25</v>
      </c>
      <c r="O55" t="s">
        <v>28</v>
      </c>
      <c r="P55" t="s">
        <v>25</v>
      </c>
      <c r="Q55">
        <v>30</v>
      </c>
      <c r="R55" t="s">
        <v>39</v>
      </c>
      <c r="S55" s="2">
        <v>97.8</v>
      </c>
      <c r="T55" s="3">
        <v>6582.33</v>
      </c>
      <c r="U55" s="4">
        <v>44351</v>
      </c>
      <c r="V55" t="s">
        <v>25</v>
      </c>
      <c r="W55" t="s">
        <v>30</v>
      </c>
    </row>
    <row r="56" spans="1:23" x14ac:dyDescent="0.35">
      <c r="A56">
        <v>1055</v>
      </c>
      <c r="B56" t="s">
        <v>31</v>
      </c>
      <c r="C56" t="s">
        <v>25</v>
      </c>
      <c r="D56" t="s">
        <v>25</v>
      </c>
      <c r="E56" t="s">
        <v>25</v>
      </c>
      <c r="F56" t="s">
        <v>26</v>
      </c>
      <c r="G56" t="s">
        <v>25</v>
      </c>
      <c r="H56" t="s">
        <v>35</v>
      </c>
      <c r="I56" t="s">
        <v>25</v>
      </c>
      <c r="J56" t="s">
        <v>26</v>
      </c>
      <c r="K56" t="s">
        <v>25</v>
      </c>
      <c r="L56" t="s">
        <v>25</v>
      </c>
      <c r="M56" t="s">
        <v>26</v>
      </c>
      <c r="N56" t="s">
        <v>25</v>
      </c>
      <c r="O56" t="s">
        <v>41</v>
      </c>
      <c r="P56" t="s">
        <v>26</v>
      </c>
      <c r="Q56">
        <v>12</v>
      </c>
      <c r="R56" t="s">
        <v>49</v>
      </c>
      <c r="S56" s="2">
        <f>T56/Q56</f>
        <v>533.7833333333333</v>
      </c>
      <c r="T56" s="3">
        <v>6405.4</v>
      </c>
      <c r="U56" s="4">
        <v>44634</v>
      </c>
      <c r="V56" t="s">
        <v>25</v>
      </c>
      <c r="W56" t="s">
        <v>30</v>
      </c>
    </row>
    <row r="57" spans="1:23" x14ac:dyDescent="0.35">
      <c r="A57">
        <v>1056</v>
      </c>
      <c r="B57" t="s">
        <v>31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35</v>
      </c>
      <c r="I57" t="s">
        <v>26</v>
      </c>
      <c r="J57" t="s">
        <v>25</v>
      </c>
      <c r="K57" t="s">
        <v>26</v>
      </c>
      <c r="L57" t="s">
        <v>26</v>
      </c>
      <c r="M57" t="s">
        <v>25</v>
      </c>
      <c r="N57" t="s">
        <v>26</v>
      </c>
      <c r="O57" t="s">
        <v>48</v>
      </c>
      <c r="P57" t="s">
        <v>26</v>
      </c>
      <c r="Q57">
        <v>60</v>
      </c>
      <c r="R57" t="s">
        <v>39</v>
      </c>
      <c r="S57" s="2">
        <v>100.46</v>
      </c>
      <c r="T57" s="3">
        <v>7242.32</v>
      </c>
      <c r="U57" s="4">
        <v>44751</v>
      </c>
      <c r="V57" t="s">
        <v>25</v>
      </c>
      <c r="W57" t="s">
        <v>30</v>
      </c>
    </row>
    <row r="58" spans="1:23" x14ac:dyDescent="0.35">
      <c r="A58">
        <v>1057</v>
      </c>
      <c r="B58" t="s">
        <v>31</v>
      </c>
      <c r="C58" t="s">
        <v>25</v>
      </c>
      <c r="D58" t="s">
        <v>25</v>
      </c>
      <c r="E58" t="s">
        <v>25</v>
      </c>
      <c r="F58" t="s">
        <v>26</v>
      </c>
      <c r="G58" t="s">
        <v>26</v>
      </c>
      <c r="H58" t="s">
        <v>27</v>
      </c>
      <c r="I58" t="s">
        <v>26</v>
      </c>
      <c r="J58" t="s">
        <v>25</v>
      </c>
      <c r="K58" t="s">
        <v>26</v>
      </c>
      <c r="L58" t="s">
        <v>25</v>
      </c>
      <c r="M58" t="s">
        <v>25</v>
      </c>
      <c r="N58" t="s">
        <v>25</v>
      </c>
      <c r="O58" t="s">
        <v>42</v>
      </c>
      <c r="P58" t="s">
        <v>26</v>
      </c>
      <c r="Q58">
        <v>22</v>
      </c>
      <c r="R58" t="s">
        <v>29</v>
      </c>
      <c r="S58" s="2">
        <v>49.27</v>
      </c>
      <c r="T58" s="3">
        <v>3155.27</v>
      </c>
      <c r="U58" s="4">
        <v>45344</v>
      </c>
      <c r="V58" t="s">
        <v>25</v>
      </c>
      <c r="W58" t="s">
        <v>30</v>
      </c>
    </row>
    <row r="59" spans="1:23" x14ac:dyDescent="0.35">
      <c r="A59">
        <v>1058</v>
      </c>
      <c r="B59" t="s">
        <v>31</v>
      </c>
      <c r="C59" t="s">
        <v>25</v>
      </c>
      <c r="D59" t="s">
        <v>26</v>
      </c>
      <c r="E59" t="s">
        <v>25</v>
      </c>
      <c r="F59" t="s">
        <v>26</v>
      </c>
      <c r="G59" t="s">
        <v>25</v>
      </c>
      <c r="H59" t="s">
        <v>25</v>
      </c>
      <c r="I59" t="s">
        <v>26</v>
      </c>
      <c r="J59" t="s">
        <v>26</v>
      </c>
      <c r="K59" t="s">
        <v>26</v>
      </c>
      <c r="L59" t="s">
        <v>25</v>
      </c>
      <c r="M59" t="s">
        <v>25</v>
      </c>
      <c r="N59" t="s">
        <v>26</v>
      </c>
      <c r="O59" t="s">
        <v>41</v>
      </c>
      <c r="P59" t="s">
        <v>26</v>
      </c>
      <c r="Q59">
        <v>1</v>
      </c>
      <c r="R59" t="s">
        <v>29</v>
      </c>
      <c r="S59" s="2">
        <v>97.65</v>
      </c>
      <c r="T59" s="3">
        <v>6794.03</v>
      </c>
      <c r="U59" s="4">
        <v>44213</v>
      </c>
      <c r="V59" t="s">
        <v>26</v>
      </c>
      <c r="W59" t="s">
        <v>50</v>
      </c>
    </row>
    <row r="60" spans="1:23" x14ac:dyDescent="0.35">
      <c r="A60">
        <v>1059</v>
      </c>
      <c r="B60" t="s">
        <v>31</v>
      </c>
      <c r="C60" t="s">
        <v>26</v>
      </c>
      <c r="D60" t="s">
        <v>25</v>
      </c>
      <c r="E60" t="s">
        <v>25</v>
      </c>
      <c r="F60" t="s">
        <v>26</v>
      </c>
      <c r="G60" t="s">
        <v>26</v>
      </c>
      <c r="H60" t="s">
        <v>27</v>
      </c>
      <c r="I60" t="s">
        <v>26</v>
      </c>
      <c r="J60" t="s">
        <v>26</v>
      </c>
      <c r="K60" t="s">
        <v>25</v>
      </c>
      <c r="L60" t="s">
        <v>26</v>
      </c>
      <c r="M60" t="s">
        <v>25</v>
      </c>
      <c r="N60" t="s">
        <v>26</v>
      </c>
      <c r="O60" t="s">
        <v>28</v>
      </c>
      <c r="P60" t="s">
        <v>26</v>
      </c>
      <c r="Q60">
        <v>19</v>
      </c>
      <c r="R60" t="s">
        <v>49</v>
      </c>
      <c r="S60" s="2">
        <v>52.41</v>
      </c>
      <c r="T60" s="3">
        <v>1724</v>
      </c>
      <c r="U60" s="4">
        <v>45187</v>
      </c>
      <c r="V60" t="s">
        <v>25</v>
      </c>
      <c r="W60" t="s">
        <v>30</v>
      </c>
    </row>
    <row r="61" spans="1:23" x14ac:dyDescent="0.35">
      <c r="A61">
        <v>1060</v>
      </c>
      <c r="B61" t="s">
        <v>34</v>
      </c>
      <c r="C61" t="s">
        <v>25</v>
      </c>
      <c r="D61" t="s">
        <v>26</v>
      </c>
      <c r="E61" t="s">
        <v>25</v>
      </c>
      <c r="F61" t="s">
        <v>25</v>
      </c>
      <c r="G61" t="s">
        <v>25</v>
      </c>
      <c r="H61" t="s">
        <v>35</v>
      </c>
      <c r="I61" t="s">
        <v>26</v>
      </c>
      <c r="J61" t="s">
        <v>26</v>
      </c>
      <c r="K61" t="s">
        <v>25</v>
      </c>
      <c r="L61" t="s">
        <v>25</v>
      </c>
      <c r="M61" t="s">
        <v>25</v>
      </c>
      <c r="N61" t="s">
        <v>26</v>
      </c>
      <c r="O61" t="s">
        <v>41</v>
      </c>
      <c r="P61" t="s">
        <v>25</v>
      </c>
      <c r="Q61">
        <v>34</v>
      </c>
      <c r="R61" t="s">
        <v>39</v>
      </c>
      <c r="S61" s="2">
        <v>65.27</v>
      </c>
      <c r="T61" s="3">
        <v>1310.23</v>
      </c>
      <c r="U61" s="4">
        <v>45066</v>
      </c>
      <c r="V61" t="s">
        <v>25</v>
      </c>
      <c r="W61" t="s">
        <v>30</v>
      </c>
    </row>
    <row r="62" spans="1:23" x14ac:dyDescent="0.35">
      <c r="A62">
        <v>1061</v>
      </c>
      <c r="B62" t="s">
        <v>31</v>
      </c>
      <c r="C62" t="s">
        <v>25</v>
      </c>
      <c r="D62" t="s">
        <v>25</v>
      </c>
      <c r="E62" t="s">
        <v>26</v>
      </c>
      <c r="F62" t="s">
        <v>26</v>
      </c>
      <c r="G62" t="s">
        <v>25</v>
      </c>
      <c r="H62" t="s">
        <v>35</v>
      </c>
      <c r="I62" t="s">
        <v>25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41</v>
      </c>
      <c r="P62" t="s">
        <v>26</v>
      </c>
      <c r="Q62">
        <v>15</v>
      </c>
      <c r="R62" t="s">
        <v>29</v>
      </c>
      <c r="S62" s="2">
        <v>20.09</v>
      </c>
      <c r="T62" s="3">
        <v>4118</v>
      </c>
      <c r="U62" s="4">
        <v>45369</v>
      </c>
      <c r="V62" t="s">
        <v>25</v>
      </c>
      <c r="W62" t="s">
        <v>30</v>
      </c>
    </row>
    <row r="63" spans="1:23" x14ac:dyDescent="0.35">
      <c r="A63">
        <v>1062</v>
      </c>
      <c r="B63" t="s">
        <v>31</v>
      </c>
      <c r="C63" t="s">
        <v>25</v>
      </c>
      <c r="D63" t="s">
        <v>26</v>
      </c>
      <c r="E63" t="s">
        <v>26</v>
      </c>
      <c r="F63" t="s">
        <v>26</v>
      </c>
      <c r="G63" t="s">
        <v>26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28</v>
      </c>
      <c r="P63" t="s">
        <v>25</v>
      </c>
      <c r="Q63">
        <v>5</v>
      </c>
      <c r="R63" t="s">
        <v>39</v>
      </c>
      <c r="S63" s="2">
        <v>717.35772229112604</v>
      </c>
      <c r="T63" s="3">
        <v>969.63</v>
      </c>
      <c r="U63" s="4">
        <v>44307</v>
      </c>
      <c r="V63" t="s">
        <v>25</v>
      </c>
      <c r="W63" t="s">
        <v>30</v>
      </c>
    </row>
    <row r="64" spans="1:23" x14ac:dyDescent="0.35">
      <c r="A64">
        <v>1063</v>
      </c>
      <c r="B64" t="s">
        <v>31</v>
      </c>
      <c r="C64" t="s">
        <v>26</v>
      </c>
      <c r="D64" t="s">
        <v>25</v>
      </c>
      <c r="E64" t="s">
        <v>26</v>
      </c>
      <c r="F64" t="s">
        <v>26</v>
      </c>
      <c r="G64" t="s">
        <v>25</v>
      </c>
      <c r="H64" t="s">
        <v>27</v>
      </c>
      <c r="I64" t="s">
        <v>25</v>
      </c>
      <c r="J64" t="s">
        <v>26</v>
      </c>
      <c r="K64" t="s">
        <v>25</v>
      </c>
      <c r="L64" t="s">
        <v>25</v>
      </c>
      <c r="M64" t="s">
        <v>26</v>
      </c>
      <c r="N64" t="s">
        <v>25</v>
      </c>
      <c r="O64" t="s">
        <v>41</v>
      </c>
      <c r="P64" t="s">
        <v>26</v>
      </c>
      <c r="Q64">
        <v>11</v>
      </c>
      <c r="R64" t="s">
        <v>29</v>
      </c>
      <c r="S64" s="2">
        <v>86.47</v>
      </c>
      <c r="T64" s="3">
        <v>2775.68</v>
      </c>
      <c r="U64" s="4">
        <v>44045</v>
      </c>
      <c r="V64" t="s">
        <v>25</v>
      </c>
      <c r="W64" t="s">
        <v>30</v>
      </c>
    </row>
    <row r="65" spans="1:23" x14ac:dyDescent="0.35">
      <c r="A65">
        <v>1064</v>
      </c>
      <c r="B65" t="s">
        <v>31</v>
      </c>
      <c r="C65" t="s">
        <v>25</v>
      </c>
      <c r="D65" t="s">
        <v>25</v>
      </c>
      <c r="E65" t="s">
        <v>25</v>
      </c>
      <c r="F65" t="s">
        <v>26</v>
      </c>
      <c r="G65" t="s">
        <v>25</v>
      </c>
      <c r="H65" t="s">
        <v>35</v>
      </c>
      <c r="I65" t="s">
        <v>26</v>
      </c>
      <c r="J65" t="s">
        <v>26</v>
      </c>
      <c r="K65" t="s">
        <v>26</v>
      </c>
      <c r="L65" t="s">
        <v>26</v>
      </c>
      <c r="M65" t="s">
        <v>25</v>
      </c>
      <c r="N65" t="s">
        <v>25</v>
      </c>
      <c r="O65" t="s">
        <v>45</v>
      </c>
      <c r="P65" t="s">
        <v>25</v>
      </c>
      <c r="Q65">
        <v>37</v>
      </c>
      <c r="R65" t="s">
        <v>29</v>
      </c>
      <c r="S65" s="2">
        <v>82.1</v>
      </c>
      <c r="T65" s="3">
        <v>2484.52</v>
      </c>
      <c r="U65" s="4">
        <v>44021</v>
      </c>
      <c r="V65" t="s">
        <v>25</v>
      </c>
      <c r="W65" t="s">
        <v>30</v>
      </c>
    </row>
    <row r="66" spans="1:23" x14ac:dyDescent="0.35">
      <c r="A66">
        <v>1065</v>
      </c>
      <c r="B66" t="s">
        <v>31</v>
      </c>
      <c r="C66" t="s">
        <v>25</v>
      </c>
      <c r="D66" t="s">
        <v>25</v>
      </c>
      <c r="E66" t="s">
        <v>26</v>
      </c>
      <c r="F66" t="s">
        <v>26</v>
      </c>
      <c r="G66" t="s">
        <v>25</v>
      </c>
      <c r="H66" t="s">
        <v>27</v>
      </c>
      <c r="I66" t="s">
        <v>25</v>
      </c>
      <c r="J66" t="s">
        <v>26</v>
      </c>
      <c r="K66" t="s">
        <v>25</v>
      </c>
      <c r="L66" t="s">
        <v>25</v>
      </c>
      <c r="M66" t="s">
        <v>26</v>
      </c>
      <c r="N66" t="s">
        <v>26</v>
      </c>
      <c r="O66" t="s">
        <v>28</v>
      </c>
      <c r="P66" t="s">
        <v>25</v>
      </c>
      <c r="Q66">
        <v>59</v>
      </c>
      <c r="R66" t="s">
        <v>33</v>
      </c>
      <c r="S66" s="2">
        <v>41.83</v>
      </c>
      <c r="T66" s="3">
        <v>4466.8599999999997</v>
      </c>
      <c r="U66" s="4">
        <v>43966</v>
      </c>
      <c r="V66" t="s">
        <v>26</v>
      </c>
      <c r="W66" t="s">
        <v>30</v>
      </c>
    </row>
    <row r="67" spans="1:23" x14ac:dyDescent="0.35">
      <c r="A67">
        <v>1066</v>
      </c>
      <c r="B67" t="s">
        <v>34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26</v>
      </c>
      <c r="L67" t="s">
        <v>25</v>
      </c>
      <c r="M67" t="s">
        <v>26</v>
      </c>
      <c r="N67" t="s">
        <v>25</v>
      </c>
      <c r="O67" t="s">
        <v>45</v>
      </c>
      <c r="P67" t="s">
        <v>25</v>
      </c>
      <c r="Q67">
        <v>13</v>
      </c>
      <c r="R67" t="s">
        <v>39</v>
      </c>
      <c r="S67" s="2">
        <v>45.45</v>
      </c>
      <c r="T67" s="3">
        <v>4006.03</v>
      </c>
      <c r="U67" s="4">
        <v>43924</v>
      </c>
      <c r="V67" t="s">
        <v>25</v>
      </c>
      <c r="W67" t="s">
        <v>30</v>
      </c>
    </row>
    <row r="68" spans="1:23" x14ac:dyDescent="0.35">
      <c r="A68">
        <v>1067</v>
      </c>
      <c r="B68" t="s">
        <v>34</v>
      </c>
      <c r="C68" t="s">
        <v>25</v>
      </c>
      <c r="D68" t="s">
        <v>25</v>
      </c>
      <c r="E68" t="s">
        <v>25</v>
      </c>
      <c r="F68" t="s">
        <v>26</v>
      </c>
      <c r="G68" t="s">
        <v>25</v>
      </c>
      <c r="H68" t="s">
        <v>27</v>
      </c>
      <c r="I68" t="s">
        <v>25</v>
      </c>
      <c r="J68" t="s">
        <v>25</v>
      </c>
      <c r="K68" t="s">
        <v>25</v>
      </c>
      <c r="L68" t="s">
        <v>26</v>
      </c>
      <c r="M68" t="s">
        <v>26</v>
      </c>
      <c r="N68" t="s">
        <v>25</v>
      </c>
      <c r="O68" t="s">
        <v>41</v>
      </c>
      <c r="P68" t="s">
        <v>26</v>
      </c>
      <c r="Q68">
        <v>52</v>
      </c>
      <c r="R68" t="s">
        <v>39</v>
      </c>
      <c r="S68" s="2">
        <v>50.25</v>
      </c>
      <c r="T68" s="3">
        <v>7382.32</v>
      </c>
      <c r="U68" s="4">
        <v>43913</v>
      </c>
      <c r="V68" t="s">
        <v>25</v>
      </c>
      <c r="W68" t="s">
        <v>30</v>
      </c>
    </row>
    <row r="69" spans="1:23" x14ac:dyDescent="0.35">
      <c r="A69">
        <v>1068</v>
      </c>
      <c r="B69" t="s">
        <v>34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27</v>
      </c>
      <c r="I69" t="s">
        <v>25</v>
      </c>
      <c r="J69" t="s">
        <v>26</v>
      </c>
      <c r="K69" t="s">
        <v>25</v>
      </c>
      <c r="L69" t="s">
        <v>26</v>
      </c>
      <c r="M69" t="s">
        <v>26</v>
      </c>
      <c r="N69" t="s">
        <v>26</v>
      </c>
      <c r="O69" t="s">
        <v>41</v>
      </c>
      <c r="P69" t="s">
        <v>25</v>
      </c>
      <c r="Q69">
        <v>0</v>
      </c>
      <c r="R69" t="s">
        <v>33</v>
      </c>
      <c r="S69" s="2">
        <v>60.8</v>
      </c>
      <c r="T69" s="3">
        <v>301.86</v>
      </c>
      <c r="U69" s="4">
        <v>45235</v>
      </c>
      <c r="V69" t="s">
        <v>25</v>
      </c>
      <c r="W69" t="s">
        <v>30</v>
      </c>
    </row>
    <row r="70" spans="1:23" x14ac:dyDescent="0.35">
      <c r="A70">
        <v>1069</v>
      </c>
      <c r="B70" t="s">
        <v>34</v>
      </c>
      <c r="C70" t="s">
        <v>25</v>
      </c>
      <c r="D70" t="s">
        <v>26</v>
      </c>
      <c r="E70" t="s">
        <v>26</v>
      </c>
      <c r="F70" t="s">
        <v>26</v>
      </c>
      <c r="G70" t="s">
        <v>25</v>
      </c>
      <c r="H70" t="s">
        <v>35</v>
      </c>
      <c r="I70" t="s">
        <v>25</v>
      </c>
      <c r="J70" t="s">
        <v>25</v>
      </c>
      <c r="K70" t="s">
        <v>25</v>
      </c>
      <c r="L70" t="s">
        <v>26</v>
      </c>
      <c r="M70" t="s">
        <v>25</v>
      </c>
      <c r="N70" t="s">
        <v>25</v>
      </c>
      <c r="O70" t="s">
        <v>41</v>
      </c>
      <c r="P70" t="s">
        <v>26</v>
      </c>
      <c r="Q70">
        <v>49</v>
      </c>
      <c r="R70" t="s">
        <v>49</v>
      </c>
      <c r="S70" s="2">
        <v>68.349999999999994</v>
      </c>
      <c r="T70" s="3">
        <v>420.79</v>
      </c>
      <c r="U70" s="4">
        <v>45339</v>
      </c>
      <c r="V70" t="s">
        <v>25</v>
      </c>
      <c r="W70" t="s">
        <v>30</v>
      </c>
    </row>
    <row r="71" spans="1:23" x14ac:dyDescent="0.35">
      <c r="A71">
        <v>1070</v>
      </c>
      <c r="B71" t="s">
        <v>31</v>
      </c>
      <c r="C71" t="s">
        <v>25</v>
      </c>
      <c r="D71" t="s">
        <v>26</v>
      </c>
      <c r="E71" t="s">
        <v>25</v>
      </c>
      <c r="F71" t="s">
        <v>26</v>
      </c>
      <c r="G71" t="s">
        <v>25</v>
      </c>
      <c r="H71" t="s">
        <v>27</v>
      </c>
      <c r="I71" t="s">
        <v>25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28</v>
      </c>
      <c r="P71" t="s">
        <v>26</v>
      </c>
      <c r="Q71">
        <v>36</v>
      </c>
      <c r="R71" t="s">
        <v>39</v>
      </c>
      <c r="S71" s="2">
        <v>86.84</v>
      </c>
      <c r="T71" s="3">
        <v>1648.04</v>
      </c>
      <c r="U71" s="4">
        <v>45292</v>
      </c>
      <c r="V71" t="s">
        <v>25</v>
      </c>
      <c r="W71" t="s">
        <v>30</v>
      </c>
    </row>
    <row r="72" spans="1:23" x14ac:dyDescent="0.35">
      <c r="A72">
        <v>1071</v>
      </c>
      <c r="B72" t="s">
        <v>34</v>
      </c>
      <c r="C72" t="s">
        <v>25</v>
      </c>
      <c r="D72" t="s">
        <v>25</v>
      </c>
      <c r="E72" t="s">
        <v>25</v>
      </c>
      <c r="F72" t="s">
        <v>25</v>
      </c>
      <c r="G72" t="s">
        <v>26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26</v>
      </c>
      <c r="N72" t="s">
        <v>26</v>
      </c>
      <c r="O72" t="s">
        <v>41</v>
      </c>
      <c r="P72" t="s">
        <v>26</v>
      </c>
      <c r="Q72">
        <v>48</v>
      </c>
      <c r="R72" t="s">
        <v>33</v>
      </c>
      <c r="S72" s="2">
        <f>T72/Q72</f>
        <v>7.8466666666666667</v>
      </c>
      <c r="T72" s="3">
        <v>376.64</v>
      </c>
      <c r="U72" s="4">
        <v>44222</v>
      </c>
      <c r="V72" t="s">
        <v>25</v>
      </c>
      <c r="W72" t="s">
        <v>30</v>
      </c>
    </row>
    <row r="73" spans="1:23" x14ac:dyDescent="0.35">
      <c r="A73">
        <v>1072</v>
      </c>
      <c r="B73" t="s">
        <v>34</v>
      </c>
      <c r="C73" t="s">
        <v>25</v>
      </c>
      <c r="D73" t="s">
        <v>26</v>
      </c>
      <c r="E73" t="s">
        <v>25</v>
      </c>
      <c r="F73" t="s">
        <v>26</v>
      </c>
      <c r="G73" t="s">
        <v>25</v>
      </c>
      <c r="H73" t="s">
        <v>27</v>
      </c>
      <c r="I73" t="s">
        <v>25</v>
      </c>
      <c r="J73" t="s">
        <v>25</v>
      </c>
      <c r="K73" t="s">
        <v>25</v>
      </c>
      <c r="L73" t="s">
        <v>26</v>
      </c>
      <c r="M73" t="s">
        <v>26</v>
      </c>
      <c r="N73" t="s">
        <v>25</v>
      </c>
      <c r="O73" t="s">
        <v>28</v>
      </c>
      <c r="P73" t="s">
        <v>25</v>
      </c>
      <c r="Q73">
        <v>52</v>
      </c>
      <c r="R73" t="s">
        <v>39</v>
      </c>
      <c r="S73" s="2">
        <v>30.68</v>
      </c>
      <c r="T73" s="3">
        <v>1169.94</v>
      </c>
      <c r="U73" s="4">
        <v>44263</v>
      </c>
      <c r="V73" t="s">
        <v>25</v>
      </c>
      <c r="W73" t="s">
        <v>30</v>
      </c>
    </row>
    <row r="74" spans="1:23" x14ac:dyDescent="0.35">
      <c r="A74">
        <v>1073</v>
      </c>
      <c r="B74" t="s">
        <v>34</v>
      </c>
      <c r="C74" t="s">
        <v>25</v>
      </c>
      <c r="D74" t="s">
        <v>26</v>
      </c>
      <c r="E74" t="s">
        <v>26</v>
      </c>
      <c r="F74" t="s">
        <v>26</v>
      </c>
      <c r="G74" t="s">
        <v>25</v>
      </c>
      <c r="H74" t="s">
        <v>25</v>
      </c>
      <c r="I74" t="s">
        <v>26</v>
      </c>
      <c r="J74" t="s">
        <v>26</v>
      </c>
      <c r="K74" t="s">
        <v>26</v>
      </c>
      <c r="L74" t="s">
        <v>25</v>
      </c>
      <c r="M74" t="s">
        <v>26</v>
      </c>
      <c r="N74" t="s">
        <v>25</v>
      </c>
      <c r="O74" t="s">
        <v>28</v>
      </c>
      <c r="P74" t="s">
        <v>25</v>
      </c>
      <c r="Q74">
        <v>32</v>
      </c>
      <c r="R74" t="s">
        <v>39</v>
      </c>
      <c r="S74" s="2">
        <v>92.91</v>
      </c>
      <c r="T74" s="3">
        <v>7743.59</v>
      </c>
      <c r="U74" s="4">
        <v>45170</v>
      </c>
      <c r="V74" t="s">
        <v>25</v>
      </c>
      <c r="W74" t="s">
        <v>30</v>
      </c>
    </row>
    <row r="75" spans="1:23" x14ac:dyDescent="0.35">
      <c r="A75">
        <v>1074</v>
      </c>
      <c r="B75" t="s">
        <v>31</v>
      </c>
      <c r="C75" t="s">
        <v>25</v>
      </c>
      <c r="D75" t="s">
        <v>26</v>
      </c>
      <c r="E75" t="s">
        <v>25</v>
      </c>
      <c r="F75" t="s">
        <v>25</v>
      </c>
      <c r="G75" t="s">
        <v>26</v>
      </c>
      <c r="H75" t="s">
        <v>27</v>
      </c>
      <c r="I75" t="s">
        <v>26</v>
      </c>
      <c r="J75" t="s">
        <v>26</v>
      </c>
      <c r="K75" t="s">
        <v>26</v>
      </c>
      <c r="L75" t="s">
        <v>25</v>
      </c>
      <c r="M75" t="s">
        <v>26</v>
      </c>
      <c r="N75" t="s">
        <v>25</v>
      </c>
      <c r="O75" t="s">
        <v>48</v>
      </c>
      <c r="P75" t="s">
        <v>25</v>
      </c>
      <c r="Q75">
        <v>5</v>
      </c>
      <c r="R75" t="s">
        <v>39</v>
      </c>
      <c r="S75" s="2">
        <v>39.96</v>
      </c>
      <c r="T75" s="3">
        <v>815.87</v>
      </c>
      <c r="U75" s="4">
        <v>45037</v>
      </c>
      <c r="V75" t="s">
        <v>25</v>
      </c>
      <c r="W75" t="s">
        <v>30</v>
      </c>
    </row>
    <row r="76" spans="1:23" x14ac:dyDescent="0.35">
      <c r="A76">
        <v>1075</v>
      </c>
      <c r="B76" t="s">
        <v>31</v>
      </c>
      <c r="C76" t="s">
        <v>25</v>
      </c>
      <c r="D76" t="s">
        <v>26</v>
      </c>
      <c r="E76" t="s">
        <v>26</v>
      </c>
      <c r="F76" t="s">
        <v>26</v>
      </c>
      <c r="G76" t="s">
        <v>25</v>
      </c>
      <c r="H76" t="s">
        <v>35</v>
      </c>
      <c r="I76" t="s">
        <v>25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41</v>
      </c>
      <c r="P76" t="s">
        <v>26</v>
      </c>
      <c r="Q76">
        <v>33</v>
      </c>
      <c r="R76" t="s">
        <v>39</v>
      </c>
      <c r="S76" s="2">
        <v>36.869999999999997</v>
      </c>
      <c r="T76" s="3">
        <v>0</v>
      </c>
      <c r="U76" s="4">
        <v>43982</v>
      </c>
      <c r="V76" t="s">
        <v>25</v>
      </c>
      <c r="W76" t="s">
        <v>30</v>
      </c>
    </row>
    <row r="77" spans="1:23" x14ac:dyDescent="0.35">
      <c r="A77">
        <v>1076</v>
      </c>
      <c r="B77" t="s">
        <v>34</v>
      </c>
      <c r="C77" t="s">
        <v>26</v>
      </c>
      <c r="D77" t="s">
        <v>25</v>
      </c>
      <c r="E77" t="s">
        <v>26</v>
      </c>
      <c r="F77" t="s">
        <v>26</v>
      </c>
      <c r="G77" t="s">
        <v>25</v>
      </c>
      <c r="H77" t="s">
        <v>25</v>
      </c>
      <c r="I77" t="s">
        <v>26</v>
      </c>
      <c r="J77" t="s">
        <v>25</v>
      </c>
      <c r="K77" t="s">
        <v>26</v>
      </c>
      <c r="L77" t="s">
        <v>26</v>
      </c>
      <c r="M77" t="s">
        <v>26</v>
      </c>
      <c r="N77" t="s">
        <v>25</v>
      </c>
      <c r="O77" t="s">
        <v>41</v>
      </c>
      <c r="P77" t="s">
        <v>26</v>
      </c>
      <c r="Q77">
        <v>6</v>
      </c>
      <c r="R77" t="s">
        <v>39</v>
      </c>
      <c r="S77" s="2">
        <v>88.22</v>
      </c>
      <c r="T77" s="3">
        <v>2698.97</v>
      </c>
      <c r="U77" s="4">
        <v>44498</v>
      </c>
      <c r="V77" t="s">
        <v>25</v>
      </c>
      <c r="W77" t="s">
        <v>30</v>
      </c>
    </row>
    <row r="78" spans="1:23" x14ac:dyDescent="0.35">
      <c r="A78">
        <v>1077</v>
      </c>
      <c r="B78" t="s">
        <v>34</v>
      </c>
      <c r="C78" t="s">
        <v>25</v>
      </c>
      <c r="D78" t="s">
        <v>25</v>
      </c>
      <c r="E78" t="s">
        <v>25</v>
      </c>
      <c r="F78" t="s">
        <v>26</v>
      </c>
      <c r="G78" t="s">
        <v>26</v>
      </c>
      <c r="H78" t="s">
        <v>35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41</v>
      </c>
      <c r="P78" t="s">
        <v>25</v>
      </c>
      <c r="Q78">
        <v>55</v>
      </c>
      <c r="R78" t="s">
        <v>33</v>
      </c>
      <c r="S78" s="2">
        <f>T78/Q78</f>
        <v>115.28581818181819</v>
      </c>
      <c r="T78" s="3">
        <v>6340.72</v>
      </c>
      <c r="U78" s="4">
        <v>44307</v>
      </c>
      <c r="V78" t="s">
        <v>25</v>
      </c>
      <c r="W78" t="s">
        <v>30</v>
      </c>
    </row>
    <row r="79" spans="1:23" x14ac:dyDescent="0.35">
      <c r="A79">
        <v>1078</v>
      </c>
      <c r="B79" t="s">
        <v>31</v>
      </c>
      <c r="C79" t="s">
        <v>25</v>
      </c>
      <c r="D79" t="s">
        <v>25</v>
      </c>
      <c r="E79" t="s">
        <v>25</v>
      </c>
      <c r="F79" t="s">
        <v>26</v>
      </c>
      <c r="G79" t="s">
        <v>26</v>
      </c>
      <c r="H79" t="s">
        <v>27</v>
      </c>
      <c r="I79" t="s">
        <v>25</v>
      </c>
      <c r="J79" t="s">
        <v>26</v>
      </c>
      <c r="K79" t="s">
        <v>25</v>
      </c>
      <c r="L79" t="s">
        <v>26</v>
      </c>
      <c r="M79" t="s">
        <v>25</v>
      </c>
      <c r="N79" t="s">
        <v>25</v>
      </c>
      <c r="O79" t="s">
        <v>48</v>
      </c>
      <c r="P79" t="s">
        <v>26</v>
      </c>
      <c r="Q79">
        <v>32</v>
      </c>
      <c r="R79" t="s">
        <v>29</v>
      </c>
      <c r="S79" s="2">
        <v>82.89</v>
      </c>
      <c r="T79" s="3">
        <v>6004.15</v>
      </c>
      <c r="U79" s="4">
        <v>44061</v>
      </c>
      <c r="V79" t="s">
        <v>25</v>
      </c>
      <c r="W79" t="s">
        <v>30</v>
      </c>
    </row>
    <row r="80" spans="1:23" x14ac:dyDescent="0.35">
      <c r="A80">
        <v>1079</v>
      </c>
      <c r="B80" t="s">
        <v>34</v>
      </c>
      <c r="C80" t="s">
        <v>25</v>
      </c>
      <c r="D80" t="s">
        <v>25</v>
      </c>
      <c r="E80" t="s">
        <v>26</v>
      </c>
      <c r="F80" t="s">
        <v>26</v>
      </c>
      <c r="G80" t="s">
        <v>25</v>
      </c>
      <c r="H80" t="s">
        <v>35</v>
      </c>
      <c r="I80" t="s">
        <v>26</v>
      </c>
      <c r="J80" t="s">
        <v>25</v>
      </c>
      <c r="K80" t="s">
        <v>26</v>
      </c>
      <c r="L80" t="s">
        <v>25</v>
      </c>
      <c r="M80" t="s">
        <v>25</v>
      </c>
      <c r="N80" t="s">
        <v>25</v>
      </c>
      <c r="O80" t="s">
        <v>28</v>
      </c>
      <c r="P80" t="s">
        <v>26</v>
      </c>
      <c r="Q80">
        <v>41</v>
      </c>
      <c r="R80" t="s">
        <v>39</v>
      </c>
      <c r="S80" s="2">
        <v>26.38</v>
      </c>
      <c r="T80" s="3">
        <v>6227.14</v>
      </c>
      <c r="U80" s="4">
        <v>44054</v>
      </c>
      <c r="V80" t="s">
        <v>25</v>
      </c>
      <c r="W80" t="s">
        <v>30</v>
      </c>
    </row>
    <row r="81" spans="1:23" x14ac:dyDescent="0.35">
      <c r="A81">
        <v>1080</v>
      </c>
      <c r="B81" t="s">
        <v>34</v>
      </c>
      <c r="C81" t="s">
        <v>26</v>
      </c>
      <c r="D81" t="s">
        <v>26</v>
      </c>
      <c r="E81" t="s">
        <v>25</v>
      </c>
      <c r="F81" t="s">
        <v>26</v>
      </c>
      <c r="G81" t="s">
        <v>26</v>
      </c>
      <c r="H81" t="s">
        <v>25</v>
      </c>
      <c r="I81" t="s">
        <v>26</v>
      </c>
      <c r="J81" t="s">
        <v>25</v>
      </c>
      <c r="K81" t="s">
        <v>25</v>
      </c>
      <c r="L81" t="s">
        <v>26</v>
      </c>
      <c r="M81" t="s">
        <v>25</v>
      </c>
      <c r="N81" t="s">
        <v>25</v>
      </c>
      <c r="O81" t="s">
        <v>41</v>
      </c>
      <c r="P81" t="s">
        <v>26</v>
      </c>
      <c r="Q81">
        <v>32</v>
      </c>
      <c r="R81" t="s">
        <v>49</v>
      </c>
      <c r="S81" s="2">
        <v>84.66</v>
      </c>
      <c r="T81" s="3">
        <v>3644.47</v>
      </c>
      <c r="U81" s="4">
        <v>45094</v>
      </c>
      <c r="V81" t="s">
        <v>25</v>
      </c>
      <c r="W81" t="s">
        <v>30</v>
      </c>
    </row>
    <row r="82" spans="1:23" x14ac:dyDescent="0.35">
      <c r="A82">
        <v>1081</v>
      </c>
      <c r="B82" t="s">
        <v>31</v>
      </c>
      <c r="C82" t="s">
        <v>25</v>
      </c>
      <c r="D82" t="s">
        <v>25</v>
      </c>
      <c r="E82" t="s">
        <v>26</v>
      </c>
      <c r="F82" t="s">
        <v>26</v>
      </c>
      <c r="G82" t="s">
        <v>26</v>
      </c>
      <c r="H82" t="s">
        <v>25</v>
      </c>
      <c r="I82" t="s">
        <v>26</v>
      </c>
      <c r="J82" t="s">
        <v>25</v>
      </c>
      <c r="K82" t="s">
        <v>25</v>
      </c>
      <c r="L82" t="s">
        <v>25</v>
      </c>
      <c r="M82" t="s">
        <v>25</v>
      </c>
      <c r="N82" t="s">
        <v>26</v>
      </c>
      <c r="O82" t="s">
        <v>45</v>
      </c>
      <c r="P82" t="s">
        <v>25</v>
      </c>
      <c r="Q82">
        <v>27</v>
      </c>
      <c r="R82" t="s">
        <v>49</v>
      </c>
      <c r="S82" s="2">
        <v>21.65</v>
      </c>
      <c r="T82" s="3">
        <v>4714.45</v>
      </c>
      <c r="U82" s="4">
        <v>43983</v>
      </c>
      <c r="V82" t="s">
        <v>25</v>
      </c>
      <c r="W82" t="s">
        <v>30</v>
      </c>
    </row>
    <row r="83" spans="1:23" x14ac:dyDescent="0.35">
      <c r="A83">
        <v>1082</v>
      </c>
      <c r="B83" t="s">
        <v>31</v>
      </c>
      <c r="C83" t="s">
        <v>25</v>
      </c>
      <c r="D83" t="s">
        <v>25</v>
      </c>
      <c r="E83" t="s">
        <v>25</v>
      </c>
      <c r="F83" t="s">
        <v>25</v>
      </c>
      <c r="G83" t="s">
        <v>26</v>
      </c>
      <c r="H83" t="s">
        <v>27</v>
      </c>
      <c r="I83" t="s">
        <v>25</v>
      </c>
      <c r="J83" t="s">
        <v>25</v>
      </c>
      <c r="K83" t="s">
        <v>25</v>
      </c>
      <c r="L83" t="s">
        <v>25</v>
      </c>
      <c r="M83" t="s">
        <v>26</v>
      </c>
      <c r="N83" t="s">
        <v>26</v>
      </c>
      <c r="O83" t="s">
        <v>45</v>
      </c>
      <c r="P83" t="s">
        <v>26</v>
      </c>
      <c r="Q83">
        <v>35</v>
      </c>
      <c r="R83" t="s">
        <v>49</v>
      </c>
      <c r="S83" s="2">
        <v>76.930000000000007</v>
      </c>
      <c r="T83" s="3">
        <v>6471.12</v>
      </c>
      <c r="U83" s="4">
        <v>43906</v>
      </c>
      <c r="V83" t="s">
        <v>25</v>
      </c>
      <c r="W83" t="s">
        <v>30</v>
      </c>
    </row>
    <row r="84" spans="1:23" x14ac:dyDescent="0.35">
      <c r="A84">
        <v>1083</v>
      </c>
      <c r="B84" t="s">
        <v>31</v>
      </c>
      <c r="C84" t="s">
        <v>25</v>
      </c>
      <c r="D84" t="s">
        <v>26</v>
      </c>
      <c r="E84" t="s">
        <v>25</v>
      </c>
      <c r="F84" t="s">
        <v>26</v>
      </c>
      <c r="G84" t="s">
        <v>25</v>
      </c>
      <c r="H84" t="s">
        <v>25</v>
      </c>
      <c r="I84" t="s">
        <v>26</v>
      </c>
      <c r="J84" t="s">
        <v>25</v>
      </c>
      <c r="K84" t="s">
        <v>25</v>
      </c>
      <c r="L84" t="s">
        <v>26</v>
      </c>
      <c r="M84" t="s">
        <v>26</v>
      </c>
      <c r="N84" t="s">
        <v>25</v>
      </c>
      <c r="O84" t="s">
        <v>28</v>
      </c>
      <c r="P84" t="s">
        <v>25</v>
      </c>
      <c r="Q84">
        <v>70</v>
      </c>
      <c r="R84" t="s">
        <v>39</v>
      </c>
      <c r="S84" s="2">
        <v>51.98</v>
      </c>
      <c r="T84" s="3">
        <v>1305.6199999999999</v>
      </c>
      <c r="U84" s="4">
        <v>44449</v>
      </c>
      <c r="V84" t="s">
        <v>25</v>
      </c>
      <c r="W84" t="s">
        <v>30</v>
      </c>
    </row>
    <row r="85" spans="1:23" x14ac:dyDescent="0.35">
      <c r="A85">
        <v>1084</v>
      </c>
      <c r="B85" t="s">
        <v>31</v>
      </c>
      <c r="C85" t="s">
        <v>25</v>
      </c>
      <c r="D85" t="s">
        <v>26</v>
      </c>
      <c r="E85" t="s">
        <v>25</v>
      </c>
      <c r="F85" t="s">
        <v>26</v>
      </c>
      <c r="G85" t="s">
        <v>25</v>
      </c>
      <c r="H85" t="s">
        <v>27</v>
      </c>
      <c r="I85" t="s">
        <v>25</v>
      </c>
      <c r="J85" t="s">
        <v>26</v>
      </c>
      <c r="K85" t="s">
        <v>26</v>
      </c>
      <c r="L85" t="s">
        <v>26</v>
      </c>
      <c r="M85" t="s">
        <v>25</v>
      </c>
      <c r="N85" t="s">
        <v>25</v>
      </c>
      <c r="O85" t="s">
        <v>28</v>
      </c>
      <c r="P85" t="s">
        <v>26</v>
      </c>
      <c r="Q85">
        <v>15</v>
      </c>
      <c r="R85" t="s">
        <v>49</v>
      </c>
      <c r="S85" s="2">
        <v>73.42</v>
      </c>
      <c r="T85" s="3">
        <v>3826.62</v>
      </c>
      <c r="U85" s="4">
        <v>45117</v>
      </c>
      <c r="V85" t="s">
        <v>25</v>
      </c>
      <c r="W85" t="s">
        <v>30</v>
      </c>
    </row>
    <row r="86" spans="1:23" x14ac:dyDescent="0.35">
      <c r="A86">
        <v>1085</v>
      </c>
      <c r="B86" t="s">
        <v>34</v>
      </c>
      <c r="C86" t="s">
        <v>26</v>
      </c>
      <c r="D86" t="s">
        <v>25</v>
      </c>
      <c r="E86" t="s">
        <v>25</v>
      </c>
      <c r="F86" t="s">
        <v>26</v>
      </c>
      <c r="G86" t="s">
        <v>25</v>
      </c>
      <c r="H86" t="s">
        <v>27</v>
      </c>
      <c r="I86" t="s">
        <v>25</v>
      </c>
      <c r="J86" t="s">
        <v>25</v>
      </c>
      <c r="K86" t="s">
        <v>26</v>
      </c>
      <c r="L86" t="s">
        <v>26</v>
      </c>
      <c r="M86" t="s">
        <v>26</v>
      </c>
      <c r="N86" t="s">
        <v>25</v>
      </c>
      <c r="O86" t="s">
        <v>45</v>
      </c>
      <c r="P86" t="s">
        <v>25</v>
      </c>
      <c r="Q86">
        <v>36</v>
      </c>
      <c r="R86" t="s">
        <v>39</v>
      </c>
      <c r="S86" s="2">
        <v>104.05</v>
      </c>
      <c r="T86" s="3">
        <v>1818.83</v>
      </c>
      <c r="U86" s="4">
        <v>44499</v>
      </c>
      <c r="V86" t="s">
        <v>25</v>
      </c>
      <c r="W86" t="s">
        <v>30</v>
      </c>
    </row>
    <row r="87" spans="1:23" x14ac:dyDescent="0.35">
      <c r="A87">
        <v>1086</v>
      </c>
      <c r="B87" t="s">
        <v>34</v>
      </c>
      <c r="C87" t="s">
        <v>26</v>
      </c>
      <c r="D87" t="s">
        <v>26</v>
      </c>
      <c r="E87" t="s">
        <v>25</v>
      </c>
      <c r="F87" t="s">
        <v>25</v>
      </c>
      <c r="G87" t="s">
        <v>25</v>
      </c>
      <c r="H87" t="s">
        <v>25</v>
      </c>
      <c r="I87" t="s">
        <v>26</v>
      </c>
      <c r="J87" t="s">
        <v>25</v>
      </c>
      <c r="K87" t="s">
        <v>26</v>
      </c>
      <c r="L87" t="s">
        <v>25</v>
      </c>
      <c r="M87" t="s">
        <v>25</v>
      </c>
      <c r="N87" t="s">
        <v>26</v>
      </c>
      <c r="O87" t="s">
        <v>28</v>
      </c>
      <c r="P87" t="s">
        <v>26</v>
      </c>
      <c r="Q87">
        <v>53</v>
      </c>
      <c r="R87" t="s">
        <v>29</v>
      </c>
      <c r="S87" s="2">
        <v>69.86</v>
      </c>
      <c r="T87" s="3">
        <v>2382.64</v>
      </c>
      <c r="U87" s="4">
        <v>44280</v>
      </c>
      <c r="V87" t="s">
        <v>25</v>
      </c>
      <c r="W87" t="s">
        <v>30</v>
      </c>
    </row>
    <row r="88" spans="1:23" x14ac:dyDescent="0.35">
      <c r="A88">
        <v>1087</v>
      </c>
      <c r="B88" t="s">
        <v>31</v>
      </c>
      <c r="C88" t="s">
        <v>25</v>
      </c>
      <c r="D88" t="s">
        <v>26</v>
      </c>
      <c r="E88" t="s">
        <v>25</v>
      </c>
      <c r="F88" t="s">
        <v>26</v>
      </c>
      <c r="G88" t="s">
        <v>26</v>
      </c>
      <c r="H88" t="s">
        <v>27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41</v>
      </c>
      <c r="P88" t="s">
        <v>26</v>
      </c>
      <c r="Q88">
        <v>53</v>
      </c>
      <c r="R88" t="s">
        <v>29</v>
      </c>
      <c r="S88" s="2">
        <v>58.93</v>
      </c>
      <c r="T88" s="3">
        <v>7330.48</v>
      </c>
      <c r="U88" s="4">
        <v>44918</v>
      </c>
      <c r="V88" t="s">
        <v>25</v>
      </c>
      <c r="W88" t="s">
        <v>30</v>
      </c>
    </row>
    <row r="89" spans="1:23" x14ac:dyDescent="0.35">
      <c r="A89">
        <v>1088</v>
      </c>
      <c r="B89" t="s">
        <v>34</v>
      </c>
      <c r="C89" t="s">
        <v>25</v>
      </c>
      <c r="D89" t="s">
        <v>25</v>
      </c>
      <c r="E89" t="s">
        <v>25</v>
      </c>
      <c r="F89" t="s">
        <v>26</v>
      </c>
      <c r="G89" t="s">
        <v>25</v>
      </c>
      <c r="H89" t="s">
        <v>35</v>
      </c>
      <c r="I89" t="s">
        <v>26</v>
      </c>
      <c r="J89" t="s">
        <v>26</v>
      </c>
      <c r="K89" t="s">
        <v>26</v>
      </c>
      <c r="L89" t="s">
        <v>25</v>
      </c>
      <c r="M89" t="s">
        <v>26</v>
      </c>
      <c r="N89" t="s">
        <v>26</v>
      </c>
      <c r="O89" t="s">
        <v>41</v>
      </c>
      <c r="P89" t="s">
        <v>26</v>
      </c>
      <c r="Q89">
        <v>24</v>
      </c>
      <c r="R89" t="s">
        <v>49</v>
      </c>
      <c r="S89" s="2">
        <f>T89/Q89</f>
        <v>148.54791666666668</v>
      </c>
      <c r="T89" s="3">
        <v>3565.15</v>
      </c>
      <c r="U89" s="4">
        <v>45563</v>
      </c>
      <c r="V89" t="s">
        <v>25</v>
      </c>
      <c r="W89" t="s">
        <v>30</v>
      </c>
    </row>
    <row r="90" spans="1:23" x14ac:dyDescent="0.35">
      <c r="A90">
        <v>1089</v>
      </c>
      <c r="B90" t="s">
        <v>31</v>
      </c>
      <c r="C90" t="s">
        <v>26</v>
      </c>
      <c r="D90" t="s">
        <v>25</v>
      </c>
      <c r="E90" t="s">
        <v>25</v>
      </c>
      <c r="F90" t="s">
        <v>26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41</v>
      </c>
      <c r="P90" t="s">
        <v>25</v>
      </c>
      <c r="Q90">
        <v>14</v>
      </c>
      <c r="R90" t="s">
        <v>33</v>
      </c>
      <c r="S90" s="2">
        <v>96.38</v>
      </c>
      <c r="T90" s="3">
        <v>6575.34</v>
      </c>
      <c r="U90" s="4">
        <v>45121</v>
      </c>
      <c r="V90" t="s">
        <v>25</v>
      </c>
      <c r="W90" t="s">
        <v>30</v>
      </c>
    </row>
    <row r="91" spans="1:23" x14ac:dyDescent="0.35">
      <c r="A91">
        <v>1090</v>
      </c>
      <c r="B91" t="s">
        <v>31</v>
      </c>
      <c r="C91" t="s">
        <v>25</v>
      </c>
      <c r="D91" t="s">
        <v>25</v>
      </c>
      <c r="E91" t="s">
        <v>26</v>
      </c>
      <c r="F91" t="s">
        <v>26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41</v>
      </c>
      <c r="P91" t="s">
        <v>26</v>
      </c>
      <c r="Q91">
        <v>61</v>
      </c>
      <c r="R91" t="s">
        <v>29</v>
      </c>
      <c r="S91" s="2">
        <v>118.79</v>
      </c>
      <c r="T91" s="3">
        <v>2304.4899999999998</v>
      </c>
      <c r="U91" s="4">
        <v>45350</v>
      </c>
      <c r="V91" t="s">
        <v>25</v>
      </c>
      <c r="W91" t="s">
        <v>30</v>
      </c>
    </row>
    <row r="92" spans="1:23" x14ac:dyDescent="0.35">
      <c r="A92">
        <v>1091</v>
      </c>
      <c r="B92" t="s">
        <v>31</v>
      </c>
      <c r="C92" t="s">
        <v>25</v>
      </c>
      <c r="D92" t="s">
        <v>26</v>
      </c>
      <c r="E92" t="s">
        <v>25</v>
      </c>
      <c r="F92" t="s">
        <v>26</v>
      </c>
      <c r="G92" t="s">
        <v>26</v>
      </c>
      <c r="H92" t="s">
        <v>27</v>
      </c>
      <c r="I92" t="s">
        <v>25</v>
      </c>
      <c r="J92" t="s">
        <v>25</v>
      </c>
      <c r="K92" t="s">
        <v>25</v>
      </c>
      <c r="L92" t="s">
        <v>25</v>
      </c>
      <c r="M92" t="s">
        <v>26</v>
      </c>
      <c r="N92" t="s">
        <v>25</v>
      </c>
      <c r="O92" t="s">
        <v>45</v>
      </c>
      <c r="P92" t="s">
        <v>26</v>
      </c>
      <c r="Q92">
        <v>39</v>
      </c>
      <c r="R92" t="s">
        <v>39</v>
      </c>
      <c r="S92" s="2">
        <v>28.68</v>
      </c>
      <c r="T92" s="3">
        <v>7985.91</v>
      </c>
      <c r="U92" s="4">
        <v>44313</v>
      </c>
      <c r="V92" t="s">
        <v>25</v>
      </c>
      <c r="W92" t="s">
        <v>30</v>
      </c>
    </row>
    <row r="93" spans="1:23" x14ac:dyDescent="0.35">
      <c r="A93">
        <v>1092</v>
      </c>
      <c r="B93" t="s">
        <v>31</v>
      </c>
      <c r="C93" t="s">
        <v>25</v>
      </c>
      <c r="D93" t="s">
        <v>26</v>
      </c>
      <c r="E93" t="s">
        <v>25</v>
      </c>
      <c r="F93" t="s">
        <v>25</v>
      </c>
      <c r="G93" t="s">
        <v>26</v>
      </c>
      <c r="H93" t="s">
        <v>27</v>
      </c>
      <c r="I93" t="s">
        <v>26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28</v>
      </c>
      <c r="P93" t="s">
        <v>26</v>
      </c>
      <c r="Q93">
        <v>42</v>
      </c>
      <c r="R93" t="s">
        <v>39</v>
      </c>
      <c r="S93" s="2">
        <v>52.28</v>
      </c>
      <c r="T93" s="3">
        <v>2958.47</v>
      </c>
      <c r="U93" s="4">
        <v>43928</v>
      </c>
      <c r="V93" t="s">
        <v>25</v>
      </c>
      <c r="W93" t="s">
        <v>30</v>
      </c>
    </row>
    <row r="94" spans="1:23" x14ac:dyDescent="0.35">
      <c r="A94">
        <v>1093</v>
      </c>
      <c r="B94" t="s">
        <v>31</v>
      </c>
      <c r="C94" t="s">
        <v>25</v>
      </c>
      <c r="D94" t="s">
        <v>25</v>
      </c>
      <c r="E94" t="s">
        <v>25</v>
      </c>
      <c r="F94" t="s">
        <v>25</v>
      </c>
      <c r="G94" t="s">
        <v>26</v>
      </c>
      <c r="H94" t="s">
        <v>25</v>
      </c>
      <c r="I94" t="s">
        <v>25</v>
      </c>
      <c r="J94" t="s">
        <v>26</v>
      </c>
      <c r="K94" t="s">
        <v>25</v>
      </c>
      <c r="L94" t="s">
        <v>25</v>
      </c>
      <c r="M94" t="s">
        <v>25</v>
      </c>
      <c r="N94" t="s">
        <v>25</v>
      </c>
      <c r="O94" t="s">
        <v>41</v>
      </c>
      <c r="P94" t="s">
        <v>26</v>
      </c>
      <c r="Q94">
        <v>46</v>
      </c>
      <c r="R94" t="s">
        <v>29</v>
      </c>
      <c r="S94" s="2">
        <v>47.21</v>
      </c>
      <c r="T94" s="3">
        <v>5362.74</v>
      </c>
      <c r="U94" s="4">
        <v>44334</v>
      </c>
      <c r="V94" t="s">
        <v>25</v>
      </c>
      <c r="W94" t="s">
        <v>50</v>
      </c>
    </row>
    <row r="95" spans="1:23" x14ac:dyDescent="0.35">
      <c r="A95">
        <v>1094</v>
      </c>
      <c r="B95" t="s">
        <v>34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26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28</v>
      </c>
      <c r="P95" t="s">
        <v>26</v>
      </c>
      <c r="Q95">
        <v>21</v>
      </c>
      <c r="R95" t="s">
        <v>39</v>
      </c>
      <c r="S95" s="2">
        <v>61.46</v>
      </c>
      <c r="T95" s="3">
        <v>1629.51</v>
      </c>
      <c r="U95" s="4">
        <v>43883</v>
      </c>
      <c r="V95" t="s">
        <v>25</v>
      </c>
      <c r="W95" t="s">
        <v>30</v>
      </c>
    </row>
    <row r="96" spans="1:23" x14ac:dyDescent="0.35">
      <c r="A96">
        <v>1095</v>
      </c>
      <c r="B96" t="s">
        <v>31</v>
      </c>
      <c r="C96" t="s">
        <v>25</v>
      </c>
      <c r="D96" t="s">
        <v>25</v>
      </c>
      <c r="E96" t="s">
        <v>25</v>
      </c>
      <c r="F96" t="s">
        <v>26</v>
      </c>
      <c r="G96" t="s">
        <v>25</v>
      </c>
      <c r="H96" t="s">
        <v>35</v>
      </c>
      <c r="I96" t="s">
        <v>26</v>
      </c>
      <c r="J96" t="s">
        <v>26</v>
      </c>
      <c r="K96" t="s">
        <v>26</v>
      </c>
      <c r="L96" t="s">
        <v>25</v>
      </c>
      <c r="M96" t="s">
        <v>25</v>
      </c>
      <c r="N96" t="s">
        <v>26</v>
      </c>
      <c r="O96" t="s">
        <v>41</v>
      </c>
      <c r="P96" t="s">
        <v>26</v>
      </c>
      <c r="Q96">
        <v>11</v>
      </c>
      <c r="R96" t="s">
        <v>29</v>
      </c>
      <c r="S96" s="2">
        <f>T96/Q96</f>
        <v>710.19636363636357</v>
      </c>
      <c r="T96" s="3">
        <v>7812.16</v>
      </c>
      <c r="U96" s="4">
        <v>43859</v>
      </c>
      <c r="V96" t="s">
        <v>25</v>
      </c>
      <c r="W96" t="s">
        <v>30</v>
      </c>
    </row>
    <row r="97" spans="1:23" x14ac:dyDescent="0.35">
      <c r="A97">
        <v>1096</v>
      </c>
      <c r="B97" t="s">
        <v>34</v>
      </c>
      <c r="C97" t="s">
        <v>25</v>
      </c>
      <c r="D97" t="s">
        <v>25</v>
      </c>
      <c r="E97" t="s">
        <v>25</v>
      </c>
      <c r="F97" t="s">
        <v>26</v>
      </c>
      <c r="G97" t="s">
        <v>25</v>
      </c>
      <c r="H97" t="s">
        <v>35</v>
      </c>
      <c r="I97" t="s">
        <v>25</v>
      </c>
      <c r="J97" t="s">
        <v>25</v>
      </c>
      <c r="K97" t="s">
        <v>25</v>
      </c>
      <c r="L97" t="s">
        <v>26</v>
      </c>
      <c r="M97" t="s">
        <v>26</v>
      </c>
      <c r="N97" t="s">
        <v>26</v>
      </c>
      <c r="O97" t="s">
        <v>41</v>
      </c>
      <c r="P97" t="s">
        <v>25</v>
      </c>
      <c r="Q97">
        <v>11</v>
      </c>
      <c r="R97" t="s">
        <v>39</v>
      </c>
      <c r="S97" s="2">
        <f>T97/Q97</f>
        <v>289.72181818181821</v>
      </c>
      <c r="T97" s="3">
        <v>3186.94</v>
      </c>
      <c r="U97" s="4">
        <v>45257</v>
      </c>
      <c r="V97" t="s">
        <v>26</v>
      </c>
      <c r="W97" t="s">
        <v>30</v>
      </c>
    </row>
    <row r="98" spans="1:23" x14ac:dyDescent="0.35">
      <c r="A98">
        <v>1097</v>
      </c>
      <c r="B98" t="s">
        <v>34</v>
      </c>
      <c r="C98" t="s">
        <v>25</v>
      </c>
      <c r="D98" t="s">
        <v>26</v>
      </c>
      <c r="E98" t="s">
        <v>25</v>
      </c>
      <c r="F98" t="s">
        <v>26</v>
      </c>
      <c r="G98" t="s">
        <v>25</v>
      </c>
      <c r="H98" t="s">
        <v>27</v>
      </c>
      <c r="I98" t="s">
        <v>25</v>
      </c>
      <c r="J98" t="s">
        <v>25</v>
      </c>
      <c r="K98" t="s">
        <v>25</v>
      </c>
      <c r="L98" t="s">
        <v>25</v>
      </c>
      <c r="M98" t="s">
        <v>26</v>
      </c>
      <c r="N98" t="s">
        <v>25</v>
      </c>
      <c r="O98" t="s">
        <v>28</v>
      </c>
      <c r="P98" t="s">
        <v>25</v>
      </c>
      <c r="Q98">
        <v>1</v>
      </c>
      <c r="R98" t="s">
        <v>29</v>
      </c>
      <c r="S98" s="2">
        <v>709</v>
      </c>
      <c r="T98" s="3">
        <v>3705.73</v>
      </c>
      <c r="U98" s="4">
        <v>45148</v>
      </c>
      <c r="V98" t="s">
        <v>26</v>
      </c>
      <c r="W98" t="s">
        <v>30</v>
      </c>
    </row>
    <row r="99" spans="1:23" x14ac:dyDescent="0.35">
      <c r="A99">
        <v>1098</v>
      </c>
      <c r="B99" t="s">
        <v>0</v>
      </c>
      <c r="C99" t="s">
        <v>25</v>
      </c>
      <c r="D99" t="s">
        <v>26</v>
      </c>
      <c r="E99" t="s">
        <v>26</v>
      </c>
      <c r="F99" t="s">
        <v>26</v>
      </c>
      <c r="G99" t="s">
        <v>26</v>
      </c>
      <c r="H99" t="s">
        <v>27</v>
      </c>
      <c r="I99" t="s">
        <v>26</v>
      </c>
      <c r="J99" t="s">
        <v>25</v>
      </c>
      <c r="K99" t="s">
        <v>25</v>
      </c>
      <c r="L99" t="s">
        <v>26</v>
      </c>
      <c r="M99" t="s">
        <v>25</v>
      </c>
      <c r="N99" t="s">
        <v>26</v>
      </c>
      <c r="O99" t="s">
        <v>41</v>
      </c>
      <c r="P99" t="s">
        <v>26</v>
      </c>
      <c r="Q99">
        <v>19</v>
      </c>
      <c r="R99" t="s">
        <v>39</v>
      </c>
      <c r="S99" s="2">
        <v>112.22</v>
      </c>
      <c r="T99" s="3">
        <v>7184.95</v>
      </c>
      <c r="U99" s="4">
        <v>44951</v>
      </c>
      <c r="V99" t="s">
        <v>26</v>
      </c>
      <c r="W99" t="s">
        <v>30</v>
      </c>
    </row>
    <row r="100" spans="1:23" x14ac:dyDescent="0.35">
      <c r="A100">
        <v>1099</v>
      </c>
      <c r="B100" t="s">
        <v>31</v>
      </c>
      <c r="C100" t="s">
        <v>25</v>
      </c>
      <c r="D100" t="s">
        <v>26</v>
      </c>
      <c r="E100" t="s">
        <v>25</v>
      </c>
      <c r="F100" t="s">
        <v>25</v>
      </c>
      <c r="G100" t="s">
        <v>25</v>
      </c>
      <c r="H100" t="s">
        <v>35</v>
      </c>
      <c r="I100" t="s">
        <v>26</v>
      </c>
      <c r="J100" t="s">
        <v>26</v>
      </c>
      <c r="K100" t="s">
        <v>26</v>
      </c>
      <c r="L100" t="s">
        <v>25</v>
      </c>
      <c r="M100" t="s">
        <v>25</v>
      </c>
      <c r="N100" t="s">
        <v>25</v>
      </c>
      <c r="O100" t="s">
        <v>48</v>
      </c>
      <c r="P100" t="s">
        <v>26</v>
      </c>
      <c r="Q100">
        <v>69</v>
      </c>
      <c r="R100" t="s">
        <v>33</v>
      </c>
      <c r="S100" s="2">
        <f>T100/Q100</f>
        <v>91.010579710144924</v>
      </c>
      <c r="T100" s="3">
        <v>6279.73</v>
      </c>
      <c r="U100" s="4">
        <v>44086</v>
      </c>
      <c r="V100" t="s">
        <v>26</v>
      </c>
      <c r="W100" t="s">
        <v>30</v>
      </c>
    </row>
    <row r="101" spans="1:23" x14ac:dyDescent="0.35">
      <c r="A101">
        <v>1100</v>
      </c>
      <c r="B101" t="s">
        <v>31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45</v>
      </c>
      <c r="P101" t="s">
        <v>26</v>
      </c>
      <c r="Q101">
        <v>60</v>
      </c>
      <c r="R101" t="s">
        <v>39</v>
      </c>
      <c r="S101" s="2">
        <v>111.98</v>
      </c>
      <c r="T101" s="3">
        <v>5825.69</v>
      </c>
      <c r="U101" s="4">
        <v>44649</v>
      </c>
      <c r="V101" t="s">
        <v>26</v>
      </c>
      <c r="W101" t="s">
        <v>30</v>
      </c>
    </row>
    <row r="102" spans="1:23" x14ac:dyDescent="0.35">
      <c r="A102">
        <v>1101</v>
      </c>
      <c r="B102" t="s">
        <v>31</v>
      </c>
      <c r="C102" t="s">
        <v>26</v>
      </c>
      <c r="D102" t="s">
        <v>25</v>
      </c>
      <c r="E102" t="s">
        <v>25</v>
      </c>
      <c r="F102" t="s">
        <v>26</v>
      </c>
      <c r="G102" t="s">
        <v>26</v>
      </c>
      <c r="H102" t="s">
        <v>27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26</v>
      </c>
      <c r="O102" t="s">
        <v>41</v>
      </c>
      <c r="P102" t="s">
        <v>25</v>
      </c>
      <c r="Q102">
        <v>31</v>
      </c>
      <c r="R102" t="s">
        <v>33</v>
      </c>
      <c r="S102" s="2">
        <v>0</v>
      </c>
      <c r="T102" s="3">
        <v>0</v>
      </c>
      <c r="U102" s="4">
        <v>44048</v>
      </c>
      <c r="V102" t="s">
        <v>26</v>
      </c>
      <c r="W102" t="s">
        <v>30</v>
      </c>
    </row>
    <row r="103" spans="1:23" x14ac:dyDescent="0.35">
      <c r="A103">
        <v>1102</v>
      </c>
      <c r="B103" t="s">
        <v>34</v>
      </c>
      <c r="C103" t="s">
        <v>25</v>
      </c>
      <c r="D103" t="s">
        <v>25</v>
      </c>
      <c r="E103" t="s">
        <v>26</v>
      </c>
      <c r="F103" t="s">
        <v>26</v>
      </c>
      <c r="G103" t="s">
        <v>26</v>
      </c>
      <c r="H103" t="s">
        <v>27</v>
      </c>
      <c r="I103" t="s">
        <v>25</v>
      </c>
      <c r="J103" t="s">
        <v>26</v>
      </c>
      <c r="K103" t="s">
        <v>26</v>
      </c>
      <c r="L103" t="s">
        <v>25</v>
      </c>
      <c r="M103" t="s">
        <v>26</v>
      </c>
      <c r="N103" t="s">
        <v>26</v>
      </c>
      <c r="O103" t="s">
        <v>41</v>
      </c>
      <c r="P103" t="s">
        <v>25</v>
      </c>
      <c r="Q103">
        <v>27</v>
      </c>
      <c r="R103" t="s">
        <v>29</v>
      </c>
      <c r="S103" s="2">
        <v>60.78</v>
      </c>
      <c r="T103" s="3">
        <v>3756.29</v>
      </c>
      <c r="U103" s="4">
        <v>45378</v>
      </c>
      <c r="V103" t="s">
        <v>26</v>
      </c>
      <c r="W103" t="s">
        <v>30</v>
      </c>
    </row>
    <row r="104" spans="1:23" x14ac:dyDescent="0.35">
      <c r="A104">
        <v>1103</v>
      </c>
      <c r="B104" t="s">
        <v>31</v>
      </c>
      <c r="C104" t="s">
        <v>25</v>
      </c>
      <c r="D104" t="s">
        <v>26</v>
      </c>
      <c r="E104" t="s">
        <v>25</v>
      </c>
      <c r="F104" t="s">
        <v>26</v>
      </c>
      <c r="G104" t="s">
        <v>26</v>
      </c>
      <c r="H104" t="s">
        <v>35</v>
      </c>
      <c r="I104" t="s">
        <v>25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45</v>
      </c>
      <c r="P104" t="s">
        <v>25</v>
      </c>
      <c r="Q104">
        <v>38</v>
      </c>
      <c r="R104" t="s">
        <v>39</v>
      </c>
      <c r="S104" s="2">
        <v>88.35</v>
      </c>
      <c r="T104" s="3">
        <v>4491.34</v>
      </c>
      <c r="U104" s="4">
        <v>44420</v>
      </c>
      <c r="V104" t="s">
        <v>26</v>
      </c>
      <c r="W104" t="s">
        <v>30</v>
      </c>
    </row>
    <row r="105" spans="1:23" x14ac:dyDescent="0.35">
      <c r="A105">
        <v>1104</v>
      </c>
      <c r="B105" t="s">
        <v>31</v>
      </c>
      <c r="C105" t="s">
        <v>25</v>
      </c>
      <c r="D105" t="s">
        <v>26</v>
      </c>
      <c r="E105" t="s">
        <v>26</v>
      </c>
      <c r="F105" t="s">
        <v>26</v>
      </c>
      <c r="G105" t="s">
        <v>25</v>
      </c>
      <c r="H105" t="s">
        <v>35</v>
      </c>
      <c r="I105" t="s">
        <v>25</v>
      </c>
      <c r="J105" t="s">
        <v>26</v>
      </c>
      <c r="K105" t="s">
        <v>25</v>
      </c>
      <c r="L105" t="s">
        <v>25</v>
      </c>
      <c r="M105" t="s">
        <v>25</v>
      </c>
      <c r="N105" t="s">
        <v>26</v>
      </c>
      <c r="O105" t="s">
        <v>41</v>
      </c>
      <c r="P105" t="s">
        <v>26</v>
      </c>
      <c r="Q105">
        <v>47</v>
      </c>
      <c r="R105" t="s">
        <v>49</v>
      </c>
      <c r="S105" s="2">
        <f>T105/Q105</f>
        <v>150.70808510638298</v>
      </c>
      <c r="T105" s="3">
        <v>7083.28</v>
      </c>
      <c r="U105" s="4">
        <v>44491</v>
      </c>
      <c r="V105" t="s">
        <v>26</v>
      </c>
      <c r="W105" t="s">
        <v>30</v>
      </c>
    </row>
    <row r="106" spans="1:23" x14ac:dyDescent="0.35">
      <c r="A106">
        <v>1105</v>
      </c>
      <c r="B106" t="s">
        <v>34</v>
      </c>
      <c r="C106" t="s">
        <v>25</v>
      </c>
      <c r="D106" t="s">
        <v>25</v>
      </c>
      <c r="E106" t="s">
        <v>25</v>
      </c>
      <c r="F106" t="s">
        <v>26</v>
      </c>
      <c r="G106" t="s">
        <v>25</v>
      </c>
      <c r="H106" t="s">
        <v>27</v>
      </c>
      <c r="I106" t="s">
        <v>25</v>
      </c>
      <c r="J106" t="s">
        <v>25</v>
      </c>
      <c r="K106" t="s">
        <v>26</v>
      </c>
      <c r="L106" t="s">
        <v>25</v>
      </c>
      <c r="M106" t="s">
        <v>26</v>
      </c>
      <c r="N106" t="s">
        <v>25</v>
      </c>
      <c r="O106" t="s">
        <v>41</v>
      </c>
      <c r="P106" t="s">
        <v>25</v>
      </c>
      <c r="Q106">
        <v>29</v>
      </c>
      <c r="R106" t="s">
        <v>39</v>
      </c>
      <c r="S106" s="2">
        <v>47.79</v>
      </c>
      <c r="T106" s="3">
        <v>6438.77</v>
      </c>
      <c r="U106" s="4">
        <v>44272</v>
      </c>
      <c r="V106" t="s">
        <v>26</v>
      </c>
      <c r="W106" t="s">
        <v>30</v>
      </c>
    </row>
    <row r="107" spans="1:23" x14ac:dyDescent="0.35">
      <c r="A107">
        <v>1106</v>
      </c>
      <c r="B107" t="s">
        <v>34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25</v>
      </c>
      <c r="L107" t="s">
        <v>26</v>
      </c>
      <c r="M107" t="s">
        <v>25</v>
      </c>
      <c r="N107" t="s">
        <v>25</v>
      </c>
      <c r="O107" t="s">
        <v>41</v>
      </c>
      <c r="P107" t="s">
        <v>26</v>
      </c>
      <c r="Q107">
        <v>50</v>
      </c>
      <c r="R107" t="s">
        <v>49</v>
      </c>
      <c r="S107" s="2">
        <v>98.56</v>
      </c>
      <c r="T107" s="3">
        <v>7446.62</v>
      </c>
      <c r="U107" s="4">
        <v>44695</v>
      </c>
      <c r="V107" t="s">
        <v>26</v>
      </c>
      <c r="W107" t="s">
        <v>30</v>
      </c>
    </row>
    <row r="108" spans="1:23" x14ac:dyDescent="0.35">
      <c r="A108">
        <v>1107</v>
      </c>
      <c r="B108" t="s">
        <v>31</v>
      </c>
      <c r="C108" t="s">
        <v>25</v>
      </c>
      <c r="D108" t="s">
        <v>26</v>
      </c>
      <c r="E108" t="s">
        <v>25</v>
      </c>
      <c r="F108" t="s">
        <v>26</v>
      </c>
      <c r="G108" t="s">
        <v>25</v>
      </c>
      <c r="H108" t="s">
        <v>27</v>
      </c>
      <c r="I108" t="s">
        <v>26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41</v>
      </c>
      <c r="P108" t="s">
        <v>25</v>
      </c>
      <c r="Q108">
        <v>20</v>
      </c>
      <c r="R108" t="s">
        <v>39</v>
      </c>
      <c r="S108" s="2">
        <v>117</v>
      </c>
      <c r="T108" s="3">
        <v>4700.6099999999997</v>
      </c>
      <c r="U108" s="4">
        <v>44516</v>
      </c>
      <c r="V108" t="s">
        <v>26</v>
      </c>
      <c r="W108" t="s">
        <v>30</v>
      </c>
    </row>
    <row r="109" spans="1:23" x14ac:dyDescent="0.35">
      <c r="A109">
        <v>1108</v>
      </c>
      <c r="B109" t="s">
        <v>31</v>
      </c>
      <c r="C109" t="s">
        <v>25</v>
      </c>
      <c r="D109" t="s">
        <v>26</v>
      </c>
      <c r="E109" t="s">
        <v>25</v>
      </c>
      <c r="F109" t="s">
        <v>26</v>
      </c>
      <c r="G109" t="s">
        <v>26</v>
      </c>
      <c r="H109" t="s">
        <v>27</v>
      </c>
      <c r="I109" t="s">
        <v>25</v>
      </c>
      <c r="J109" t="s">
        <v>25</v>
      </c>
      <c r="K109" t="s">
        <v>25</v>
      </c>
      <c r="L109" t="s">
        <v>25</v>
      </c>
      <c r="M109" t="s">
        <v>26</v>
      </c>
      <c r="N109" t="s">
        <v>25</v>
      </c>
      <c r="O109" t="s">
        <v>41</v>
      </c>
      <c r="P109" t="s">
        <v>26</v>
      </c>
      <c r="Q109">
        <v>41</v>
      </c>
      <c r="R109" t="s">
        <v>39</v>
      </c>
      <c r="S109" s="2">
        <v>64.27</v>
      </c>
      <c r="T109" s="3">
        <v>1327.55</v>
      </c>
      <c r="U109" s="4">
        <v>44411</v>
      </c>
      <c r="V109" t="s">
        <v>26</v>
      </c>
      <c r="W109" t="s">
        <v>30</v>
      </c>
    </row>
    <row r="110" spans="1:23" x14ac:dyDescent="0.35">
      <c r="A110">
        <v>1109</v>
      </c>
      <c r="B110" t="s">
        <v>31</v>
      </c>
      <c r="C110" t="s">
        <v>25</v>
      </c>
      <c r="D110" t="s">
        <v>25</v>
      </c>
      <c r="E110" t="s">
        <v>25</v>
      </c>
      <c r="F110" t="s">
        <v>25</v>
      </c>
      <c r="G110" t="s">
        <v>26</v>
      </c>
      <c r="H110" t="s">
        <v>27</v>
      </c>
      <c r="I110" t="s">
        <v>25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28</v>
      </c>
      <c r="P110" t="s">
        <v>26</v>
      </c>
      <c r="Q110">
        <v>24</v>
      </c>
      <c r="R110" t="s">
        <v>29</v>
      </c>
      <c r="S110" s="2">
        <v>65.260000000000005</v>
      </c>
      <c r="T110" s="3">
        <v>903.2</v>
      </c>
      <c r="U110" s="4">
        <v>45119</v>
      </c>
      <c r="V110" t="s">
        <v>26</v>
      </c>
      <c r="W110" t="s">
        <v>30</v>
      </c>
    </row>
    <row r="111" spans="1:23" x14ac:dyDescent="0.35">
      <c r="A111">
        <v>1110</v>
      </c>
      <c r="B111" t="s">
        <v>31</v>
      </c>
      <c r="C111" t="s">
        <v>25</v>
      </c>
      <c r="D111" t="s">
        <v>26</v>
      </c>
      <c r="E111" t="s">
        <v>26</v>
      </c>
      <c r="F111" t="s">
        <v>26</v>
      </c>
      <c r="G111" t="s">
        <v>25</v>
      </c>
      <c r="H111" t="s">
        <v>35</v>
      </c>
      <c r="I111" t="s">
        <v>26</v>
      </c>
      <c r="J111" t="s">
        <v>25</v>
      </c>
      <c r="K111" t="s">
        <v>26</v>
      </c>
      <c r="L111" t="s">
        <v>25</v>
      </c>
      <c r="M111" t="s">
        <v>25</v>
      </c>
      <c r="N111" t="s">
        <v>25</v>
      </c>
      <c r="O111" t="s">
        <v>45</v>
      </c>
      <c r="P111" t="s">
        <v>26</v>
      </c>
      <c r="Q111">
        <v>20</v>
      </c>
      <c r="R111" t="s">
        <v>39</v>
      </c>
      <c r="S111" s="2">
        <v>46.89</v>
      </c>
      <c r="T111" s="3">
        <v>2747.02</v>
      </c>
      <c r="U111" s="4">
        <v>43918</v>
      </c>
      <c r="V111" t="s">
        <v>26</v>
      </c>
      <c r="W111" t="s">
        <v>30</v>
      </c>
    </row>
    <row r="112" spans="1:23" x14ac:dyDescent="0.35">
      <c r="A112">
        <v>1111</v>
      </c>
      <c r="B112" t="s">
        <v>31</v>
      </c>
      <c r="C112" t="s">
        <v>25</v>
      </c>
      <c r="D112" t="s">
        <v>25</v>
      </c>
      <c r="E112" t="s">
        <v>25</v>
      </c>
      <c r="F112" t="s">
        <v>26</v>
      </c>
      <c r="G112" t="s">
        <v>26</v>
      </c>
      <c r="H112" t="s">
        <v>35</v>
      </c>
      <c r="I112" t="s">
        <v>25</v>
      </c>
      <c r="J112" t="s">
        <v>25</v>
      </c>
      <c r="K112" t="s">
        <v>25</v>
      </c>
      <c r="L112" t="s">
        <v>25</v>
      </c>
      <c r="M112" t="s">
        <v>26</v>
      </c>
      <c r="N112" t="s">
        <v>25</v>
      </c>
      <c r="O112" t="s">
        <v>41</v>
      </c>
      <c r="P112" t="s">
        <v>25</v>
      </c>
      <c r="Q112">
        <v>34</v>
      </c>
      <c r="R112" t="s">
        <v>39</v>
      </c>
      <c r="S112" s="2">
        <v>71.819999999999993</v>
      </c>
      <c r="T112" s="3">
        <v>159.6</v>
      </c>
      <c r="U112" s="4">
        <v>45624</v>
      </c>
      <c r="V112" t="s">
        <v>25</v>
      </c>
      <c r="W112" t="s">
        <v>30</v>
      </c>
    </row>
    <row r="113" spans="1:23" x14ac:dyDescent="0.35">
      <c r="A113">
        <v>1112</v>
      </c>
      <c r="B113" t="s">
        <v>34</v>
      </c>
      <c r="C113" t="s">
        <v>25</v>
      </c>
      <c r="D113" t="s">
        <v>26</v>
      </c>
      <c r="E113" t="s">
        <v>26</v>
      </c>
      <c r="F113" t="s">
        <v>26</v>
      </c>
      <c r="G113" t="s">
        <v>25</v>
      </c>
      <c r="H113" t="s">
        <v>27</v>
      </c>
      <c r="I113" t="s">
        <v>26</v>
      </c>
      <c r="J113" t="s">
        <v>25</v>
      </c>
      <c r="K113" t="s">
        <v>25</v>
      </c>
      <c r="L113" t="s">
        <v>26</v>
      </c>
      <c r="M113" t="s">
        <v>26</v>
      </c>
      <c r="N113" t="s">
        <v>26</v>
      </c>
      <c r="O113" t="s">
        <v>45</v>
      </c>
      <c r="P113" t="s">
        <v>26</v>
      </c>
      <c r="Q113">
        <v>63</v>
      </c>
      <c r="R113" t="s">
        <v>39</v>
      </c>
      <c r="S113" s="2">
        <v>25.25</v>
      </c>
      <c r="T113" s="3">
        <v>7559.64</v>
      </c>
      <c r="U113" s="4">
        <v>45471</v>
      </c>
      <c r="V113" t="s">
        <v>25</v>
      </c>
      <c r="W113" t="s">
        <v>50</v>
      </c>
    </row>
    <row r="114" spans="1:23" x14ac:dyDescent="0.35">
      <c r="A114">
        <v>1113</v>
      </c>
      <c r="B114" t="s">
        <v>31</v>
      </c>
      <c r="C114" t="s">
        <v>25</v>
      </c>
      <c r="D114" t="s">
        <v>26</v>
      </c>
      <c r="E114" t="s">
        <v>25</v>
      </c>
      <c r="F114" t="s">
        <v>25</v>
      </c>
      <c r="G114" t="s">
        <v>26</v>
      </c>
      <c r="H114" t="s">
        <v>25</v>
      </c>
      <c r="I114" t="s">
        <v>25</v>
      </c>
      <c r="J114" t="s">
        <v>26</v>
      </c>
      <c r="K114" t="s">
        <v>25</v>
      </c>
      <c r="L114" t="s">
        <v>26</v>
      </c>
      <c r="M114" t="s">
        <v>25</v>
      </c>
      <c r="N114" t="s">
        <v>26</v>
      </c>
      <c r="O114" t="s">
        <v>41</v>
      </c>
      <c r="P114" t="s">
        <v>26</v>
      </c>
      <c r="Q114">
        <v>11</v>
      </c>
      <c r="R114" t="s">
        <v>49</v>
      </c>
      <c r="S114" s="2">
        <v>651.96546734562696</v>
      </c>
      <c r="T114" s="3">
        <v>653.37</v>
      </c>
      <c r="U114" s="4">
        <v>45485</v>
      </c>
      <c r="V114" t="s">
        <v>25</v>
      </c>
      <c r="W114" t="s">
        <v>30</v>
      </c>
    </row>
    <row r="115" spans="1:23" x14ac:dyDescent="0.35">
      <c r="A115">
        <v>1114</v>
      </c>
      <c r="B115" t="s">
        <v>31</v>
      </c>
      <c r="C115" t="s">
        <v>26</v>
      </c>
      <c r="D115" t="s">
        <v>26</v>
      </c>
      <c r="E115" t="s">
        <v>25</v>
      </c>
      <c r="F115" t="s">
        <v>26</v>
      </c>
      <c r="G115" t="s">
        <v>25</v>
      </c>
      <c r="H115" t="s">
        <v>27</v>
      </c>
      <c r="I115" t="s">
        <v>25</v>
      </c>
      <c r="J115" t="s">
        <v>25</v>
      </c>
      <c r="K115" t="s">
        <v>26</v>
      </c>
      <c r="L115" t="s">
        <v>25</v>
      </c>
      <c r="M115" t="s">
        <v>25</v>
      </c>
      <c r="N115" t="s">
        <v>26</v>
      </c>
      <c r="O115" t="s">
        <v>41</v>
      </c>
      <c r="P115" t="s">
        <v>25</v>
      </c>
      <c r="Q115">
        <v>60</v>
      </c>
      <c r="R115" t="s">
        <v>39</v>
      </c>
      <c r="S115" s="2">
        <f>T115/Q115</f>
        <v>36.201666666666668</v>
      </c>
      <c r="T115" s="3">
        <v>2172.1</v>
      </c>
      <c r="U115" s="4">
        <v>45487</v>
      </c>
      <c r="V115" t="s">
        <v>25</v>
      </c>
      <c r="W115" t="s">
        <v>30</v>
      </c>
    </row>
    <row r="116" spans="1:23" x14ac:dyDescent="0.35">
      <c r="A116">
        <v>1115</v>
      </c>
      <c r="B116" t="s">
        <v>31</v>
      </c>
      <c r="C116" t="s">
        <v>25</v>
      </c>
      <c r="D116" t="s">
        <v>26</v>
      </c>
      <c r="E116" t="s">
        <v>25</v>
      </c>
      <c r="F116" t="s">
        <v>26</v>
      </c>
      <c r="G116" t="s">
        <v>25</v>
      </c>
      <c r="H116" t="s">
        <v>25</v>
      </c>
      <c r="I116" t="s">
        <v>25</v>
      </c>
      <c r="J116" t="s">
        <v>26</v>
      </c>
      <c r="K116" t="s">
        <v>25</v>
      </c>
      <c r="L116" t="s">
        <v>25</v>
      </c>
      <c r="M116" t="s">
        <v>25</v>
      </c>
      <c r="N116" t="s">
        <v>25</v>
      </c>
      <c r="O116" t="s">
        <v>28</v>
      </c>
      <c r="P116" t="s">
        <v>26</v>
      </c>
      <c r="Q116">
        <v>27</v>
      </c>
      <c r="R116" t="s">
        <v>49</v>
      </c>
      <c r="S116" s="2">
        <v>116.36</v>
      </c>
      <c r="T116" s="3">
        <v>6230.15</v>
      </c>
      <c r="U116" s="4">
        <v>45613</v>
      </c>
      <c r="V116" t="s">
        <v>25</v>
      </c>
      <c r="W116" t="s">
        <v>30</v>
      </c>
    </row>
    <row r="117" spans="1:23" x14ac:dyDescent="0.35">
      <c r="A117">
        <v>1116</v>
      </c>
      <c r="B117" t="s">
        <v>31</v>
      </c>
      <c r="C117" t="s">
        <v>25</v>
      </c>
      <c r="D117" t="s">
        <v>25</v>
      </c>
      <c r="E117" t="s">
        <v>25</v>
      </c>
      <c r="F117" t="s">
        <v>26</v>
      </c>
      <c r="G117" t="s">
        <v>26</v>
      </c>
      <c r="H117" t="s">
        <v>25</v>
      </c>
      <c r="I117" t="s">
        <v>26</v>
      </c>
      <c r="J117" t="s">
        <v>26</v>
      </c>
      <c r="K117" t="s">
        <v>26</v>
      </c>
      <c r="L117" t="s">
        <v>25</v>
      </c>
      <c r="M117" t="s">
        <v>25</v>
      </c>
      <c r="N117" t="s">
        <v>26</v>
      </c>
      <c r="O117" t="s">
        <v>28</v>
      </c>
      <c r="P117" t="s">
        <v>26</v>
      </c>
      <c r="Q117">
        <v>23</v>
      </c>
      <c r="R117" t="s">
        <v>49</v>
      </c>
      <c r="S117" s="2">
        <v>56.73</v>
      </c>
      <c r="T117" s="3">
        <v>4744.26</v>
      </c>
      <c r="U117" s="4">
        <v>44297</v>
      </c>
      <c r="V117" t="s">
        <v>25</v>
      </c>
      <c r="W117" t="s">
        <v>50</v>
      </c>
    </row>
    <row r="118" spans="1:23" x14ac:dyDescent="0.35">
      <c r="A118">
        <v>1117</v>
      </c>
      <c r="B118" t="s">
        <v>34</v>
      </c>
      <c r="C118" t="s">
        <v>25</v>
      </c>
      <c r="D118" t="s">
        <v>26</v>
      </c>
      <c r="E118" t="s">
        <v>25</v>
      </c>
      <c r="F118" t="s">
        <v>25</v>
      </c>
      <c r="G118" t="s">
        <v>25</v>
      </c>
      <c r="H118" t="s">
        <v>35</v>
      </c>
      <c r="I118" t="s">
        <v>26</v>
      </c>
      <c r="J118" t="s">
        <v>25</v>
      </c>
      <c r="K118" t="s">
        <v>25</v>
      </c>
      <c r="L118" t="s">
        <v>26</v>
      </c>
      <c r="M118" t="s">
        <v>26</v>
      </c>
      <c r="N118" t="s">
        <v>25</v>
      </c>
      <c r="O118" t="s">
        <v>41</v>
      </c>
      <c r="P118" t="s">
        <v>25</v>
      </c>
      <c r="Q118">
        <v>40</v>
      </c>
      <c r="R118" t="s">
        <v>33</v>
      </c>
      <c r="S118" s="2">
        <v>53.47</v>
      </c>
      <c r="T118" s="3">
        <v>6412</v>
      </c>
      <c r="U118" s="4">
        <v>44954</v>
      </c>
      <c r="V118" t="s">
        <v>25</v>
      </c>
      <c r="W118" t="s">
        <v>30</v>
      </c>
    </row>
    <row r="119" spans="1:23" x14ac:dyDescent="0.35">
      <c r="A119">
        <v>1118</v>
      </c>
      <c r="B119" t="s">
        <v>34</v>
      </c>
      <c r="C119" t="s">
        <v>25</v>
      </c>
      <c r="D119" t="s">
        <v>26</v>
      </c>
      <c r="E119" t="s">
        <v>25</v>
      </c>
      <c r="F119" t="s">
        <v>26</v>
      </c>
      <c r="G119" t="s">
        <v>26</v>
      </c>
      <c r="H119" t="s">
        <v>35</v>
      </c>
      <c r="I119" t="s">
        <v>25</v>
      </c>
      <c r="J119" t="s">
        <v>26</v>
      </c>
      <c r="K119" t="s">
        <v>25</v>
      </c>
      <c r="L119" t="s">
        <v>25</v>
      </c>
      <c r="M119" t="s">
        <v>25</v>
      </c>
      <c r="N119" t="s">
        <v>25</v>
      </c>
      <c r="O119" t="s">
        <v>41</v>
      </c>
      <c r="P119" t="s">
        <v>26</v>
      </c>
      <c r="Q119">
        <v>56</v>
      </c>
      <c r="R119" t="s">
        <v>33</v>
      </c>
      <c r="S119" s="2">
        <v>23.02</v>
      </c>
      <c r="T119" s="3">
        <v>1438.21</v>
      </c>
      <c r="U119" s="4">
        <v>44660</v>
      </c>
      <c r="V119" t="s">
        <v>25</v>
      </c>
      <c r="W119" t="s">
        <v>30</v>
      </c>
    </row>
    <row r="120" spans="1:23" x14ac:dyDescent="0.35">
      <c r="A120">
        <v>1119</v>
      </c>
      <c r="B120" t="s">
        <v>34</v>
      </c>
      <c r="C120" t="s">
        <v>25</v>
      </c>
      <c r="D120" t="s">
        <v>25</v>
      </c>
      <c r="E120" t="s">
        <v>25</v>
      </c>
      <c r="F120" t="s">
        <v>26</v>
      </c>
      <c r="G120" t="s">
        <v>26</v>
      </c>
      <c r="H120" t="s">
        <v>27</v>
      </c>
      <c r="I120" t="s">
        <v>25</v>
      </c>
      <c r="J120" t="s">
        <v>26</v>
      </c>
      <c r="K120" t="s">
        <v>25</v>
      </c>
      <c r="L120" t="s">
        <v>25</v>
      </c>
      <c r="M120" t="s">
        <v>26</v>
      </c>
      <c r="N120" t="s">
        <v>25</v>
      </c>
      <c r="O120" t="s">
        <v>45</v>
      </c>
      <c r="P120" t="s">
        <v>25</v>
      </c>
      <c r="Q120">
        <v>26</v>
      </c>
      <c r="R120" t="s">
        <v>49</v>
      </c>
      <c r="S120" s="2">
        <v>26.86</v>
      </c>
      <c r="T120" s="3">
        <v>3959.5</v>
      </c>
      <c r="U120" s="4">
        <v>45010</v>
      </c>
      <c r="V120" t="s">
        <v>25</v>
      </c>
      <c r="W120" t="s">
        <v>30</v>
      </c>
    </row>
    <row r="121" spans="1:23" x14ac:dyDescent="0.35">
      <c r="A121">
        <v>1120</v>
      </c>
      <c r="B121" t="s">
        <v>34</v>
      </c>
      <c r="C121" t="s">
        <v>25</v>
      </c>
      <c r="D121" t="s">
        <v>25</v>
      </c>
      <c r="E121" t="s">
        <v>26</v>
      </c>
      <c r="F121" t="s">
        <v>26</v>
      </c>
      <c r="G121" t="s">
        <v>26</v>
      </c>
      <c r="H121" t="s">
        <v>25</v>
      </c>
      <c r="I121" t="s">
        <v>26</v>
      </c>
      <c r="J121" t="s">
        <v>25</v>
      </c>
      <c r="K121" t="s">
        <v>25</v>
      </c>
      <c r="L121" t="s">
        <v>25</v>
      </c>
      <c r="M121" t="s">
        <v>25</v>
      </c>
      <c r="N121" t="s">
        <v>26</v>
      </c>
      <c r="O121" t="s">
        <v>41</v>
      </c>
      <c r="P121" t="s">
        <v>26</v>
      </c>
      <c r="Q121">
        <v>15</v>
      </c>
      <c r="R121" t="s">
        <v>29</v>
      </c>
      <c r="S121" s="2">
        <v>93.58</v>
      </c>
      <c r="T121" s="3">
        <v>1059.42</v>
      </c>
      <c r="U121" s="4">
        <v>44045</v>
      </c>
      <c r="V121" t="s">
        <v>25</v>
      </c>
      <c r="W121" t="s">
        <v>30</v>
      </c>
    </row>
    <row r="122" spans="1:23" x14ac:dyDescent="0.35">
      <c r="A122">
        <v>1121</v>
      </c>
      <c r="B122" t="s">
        <v>31</v>
      </c>
      <c r="C122" t="s">
        <v>25</v>
      </c>
      <c r="D122" t="s">
        <v>25</v>
      </c>
      <c r="E122" t="s">
        <v>25</v>
      </c>
      <c r="F122" t="s">
        <v>26</v>
      </c>
      <c r="G122" t="s">
        <v>26</v>
      </c>
      <c r="H122" t="s">
        <v>25</v>
      </c>
      <c r="I122" t="s">
        <v>25</v>
      </c>
      <c r="J122" t="s">
        <v>26</v>
      </c>
      <c r="K122" t="s">
        <v>25</v>
      </c>
      <c r="L122" t="s">
        <v>25</v>
      </c>
      <c r="M122" t="s">
        <v>25</v>
      </c>
      <c r="N122" t="s">
        <v>25</v>
      </c>
      <c r="O122" t="s">
        <v>41</v>
      </c>
      <c r="P122" t="s">
        <v>26</v>
      </c>
      <c r="Q122">
        <v>71</v>
      </c>
      <c r="R122" t="s">
        <v>39</v>
      </c>
      <c r="S122" s="2">
        <v>29.44</v>
      </c>
      <c r="T122" s="3">
        <v>5423.96</v>
      </c>
      <c r="U122" s="4">
        <v>44790</v>
      </c>
      <c r="V122" t="s">
        <v>25</v>
      </c>
      <c r="W122" t="s">
        <v>30</v>
      </c>
    </row>
    <row r="123" spans="1:23" x14ac:dyDescent="0.35">
      <c r="A123">
        <v>1122</v>
      </c>
      <c r="B123" t="s">
        <v>31</v>
      </c>
      <c r="C123" t="s">
        <v>25</v>
      </c>
      <c r="D123" t="s">
        <v>25</v>
      </c>
      <c r="E123" t="s">
        <v>25</v>
      </c>
      <c r="F123" t="s">
        <v>26</v>
      </c>
      <c r="G123" t="s">
        <v>25</v>
      </c>
      <c r="H123" t="s">
        <v>27</v>
      </c>
      <c r="I123" t="s">
        <v>26</v>
      </c>
      <c r="J123" t="s">
        <v>25</v>
      </c>
      <c r="K123" t="s">
        <v>25</v>
      </c>
      <c r="L123" t="s">
        <v>26</v>
      </c>
      <c r="M123" t="s">
        <v>26</v>
      </c>
      <c r="N123" t="s">
        <v>26</v>
      </c>
      <c r="O123" t="s">
        <v>41</v>
      </c>
      <c r="P123" t="s">
        <v>25</v>
      </c>
      <c r="Q123">
        <v>32</v>
      </c>
      <c r="R123" t="s">
        <v>29</v>
      </c>
      <c r="S123" s="2">
        <f>T123/Q123</f>
        <v>100.03625</v>
      </c>
      <c r="T123" s="3">
        <v>3201.16</v>
      </c>
      <c r="U123" s="4">
        <v>45177</v>
      </c>
      <c r="V123" t="s">
        <v>25</v>
      </c>
      <c r="W123" t="s">
        <v>30</v>
      </c>
    </row>
    <row r="124" spans="1:23" x14ac:dyDescent="0.35">
      <c r="A124">
        <v>1123</v>
      </c>
      <c r="B124" t="s">
        <v>34</v>
      </c>
      <c r="C124" t="s">
        <v>25</v>
      </c>
      <c r="D124" t="s">
        <v>26</v>
      </c>
      <c r="E124" t="s">
        <v>25</v>
      </c>
      <c r="F124" t="s">
        <v>26</v>
      </c>
      <c r="G124" t="s">
        <v>26</v>
      </c>
      <c r="H124" t="s">
        <v>27</v>
      </c>
      <c r="I124" t="s">
        <v>26</v>
      </c>
      <c r="J124" t="s">
        <v>25</v>
      </c>
      <c r="K124" t="s">
        <v>25</v>
      </c>
      <c r="L124" t="s">
        <v>25</v>
      </c>
      <c r="M124" t="s">
        <v>26</v>
      </c>
      <c r="N124" t="s">
        <v>26</v>
      </c>
      <c r="O124" t="s">
        <v>28</v>
      </c>
      <c r="P124" t="s">
        <v>25</v>
      </c>
      <c r="Q124">
        <v>37</v>
      </c>
      <c r="R124" t="s">
        <v>39</v>
      </c>
      <c r="S124" s="2">
        <v>41.51</v>
      </c>
      <c r="T124" s="3">
        <v>4882.2</v>
      </c>
      <c r="U124" s="4">
        <v>44510</v>
      </c>
      <c r="V124" t="s">
        <v>25</v>
      </c>
      <c r="W124" t="s">
        <v>30</v>
      </c>
    </row>
    <row r="125" spans="1:23" x14ac:dyDescent="0.35">
      <c r="A125">
        <v>1124</v>
      </c>
      <c r="B125" t="s">
        <v>31</v>
      </c>
      <c r="C125" t="s">
        <v>25</v>
      </c>
      <c r="D125" t="s">
        <v>26</v>
      </c>
      <c r="E125" t="s">
        <v>26</v>
      </c>
      <c r="F125" t="s">
        <v>26</v>
      </c>
      <c r="G125" t="s">
        <v>26</v>
      </c>
      <c r="H125" t="s">
        <v>35</v>
      </c>
      <c r="I125" t="s">
        <v>25</v>
      </c>
      <c r="J125" t="s">
        <v>25</v>
      </c>
      <c r="K125" t="s">
        <v>26</v>
      </c>
      <c r="L125" t="s">
        <v>26</v>
      </c>
      <c r="M125" t="s">
        <v>26</v>
      </c>
      <c r="N125" t="s">
        <v>25</v>
      </c>
      <c r="O125" t="s">
        <v>41</v>
      </c>
      <c r="P125" t="s">
        <v>26</v>
      </c>
      <c r="Q125">
        <v>53</v>
      </c>
      <c r="R125" t="s">
        <v>33</v>
      </c>
      <c r="S125" s="2">
        <v>22.28</v>
      </c>
      <c r="T125" s="3">
        <v>7732.01</v>
      </c>
      <c r="U125" s="4">
        <v>44796</v>
      </c>
      <c r="V125" t="s">
        <v>25</v>
      </c>
      <c r="W125" t="s">
        <v>30</v>
      </c>
    </row>
    <row r="126" spans="1:23" x14ac:dyDescent="0.35">
      <c r="A126">
        <v>1125</v>
      </c>
      <c r="B126" t="s">
        <v>31</v>
      </c>
      <c r="C126" t="s">
        <v>26</v>
      </c>
      <c r="D126" t="s">
        <v>25</v>
      </c>
      <c r="E126" t="s">
        <v>25</v>
      </c>
      <c r="F126" t="s">
        <v>25</v>
      </c>
      <c r="G126" t="s">
        <v>26</v>
      </c>
      <c r="H126" t="s">
        <v>35</v>
      </c>
      <c r="I126" t="s">
        <v>26</v>
      </c>
      <c r="J126" t="s">
        <v>25</v>
      </c>
      <c r="K126" t="s">
        <v>26</v>
      </c>
      <c r="L126" t="s">
        <v>25</v>
      </c>
      <c r="M126" t="s">
        <v>26</v>
      </c>
      <c r="N126" t="s">
        <v>26</v>
      </c>
      <c r="O126" t="s">
        <v>41</v>
      </c>
      <c r="P126" t="s">
        <v>25</v>
      </c>
      <c r="Q126">
        <v>8</v>
      </c>
      <c r="R126" t="s">
        <v>29</v>
      </c>
      <c r="S126" s="2">
        <v>74.75</v>
      </c>
      <c r="T126" s="3">
        <v>2111.2600000000002</v>
      </c>
      <c r="U126" s="4">
        <v>44486</v>
      </c>
      <c r="V126" t="s">
        <v>25</v>
      </c>
      <c r="W126" t="s">
        <v>30</v>
      </c>
    </row>
    <row r="127" spans="1:23" x14ac:dyDescent="0.35">
      <c r="A127">
        <v>1126</v>
      </c>
      <c r="B127" t="s">
        <v>31</v>
      </c>
      <c r="C127" t="s">
        <v>25</v>
      </c>
      <c r="D127" t="s">
        <v>25</v>
      </c>
      <c r="E127" t="s">
        <v>26</v>
      </c>
      <c r="F127" t="s">
        <v>26</v>
      </c>
      <c r="G127" t="s">
        <v>25</v>
      </c>
      <c r="H127" t="s">
        <v>27</v>
      </c>
      <c r="I127" t="s">
        <v>26</v>
      </c>
      <c r="J127" t="s">
        <v>25</v>
      </c>
      <c r="K127" t="s">
        <v>26</v>
      </c>
      <c r="L127" t="s">
        <v>25</v>
      </c>
      <c r="M127" t="s">
        <v>25</v>
      </c>
      <c r="N127" t="s">
        <v>25</v>
      </c>
      <c r="O127" t="s">
        <v>28</v>
      </c>
      <c r="P127" t="s">
        <v>26</v>
      </c>
      <c r="Q127">
        <v>30</v>
      </c>
      <c r="R127" t="s">
        <v>39</v>
      </c>
      <c r="S127" s="2">
        <f>T127/Q127</f>
        <v>73.734333333333339</v>
      </c>
      <c r="T127" s="3">
        <v>2212.0300000000002</v>
      </c>
      <c r="U127" s="4">
        <v>43874</v>
      </c>
      <c r="V127" t="s">
        <v>25</v>
      </c>
      <c r="W127" t="s">
        <v>30</v>
      </c>
    </row>
    <row r="128" spans="1:23" x14ac:dyDescent="0.35">
      <c r="A128">
        <v>1127</v>
      </c>
      <c r="B128" t="s">
        <v>31</v>
      </c>
      <c r="C128" t="s">
        <v>25</v>
      </c>
      <c r="D128" t="s">
        <v>25</v>
      </c>
      <c r="E128" t="s">
        <v>26</v>
      </c>
      <c r="F128" t="s">
        <v>26</v>
      </c>
      <c r="G128" t="s">
        <v>26</v>
      </c>
      <c r="H128" t="s">
        <v>27</v>
      </c>
      <c r="I128" t="s">
        <v>25</v>
      </c>
      <c r="J128" t="s">
        <v>26</v>
      </c>
      <c r="K128" t="s">
        <v>26</v>
      </c>
      <c r="L128" t="s">
        <v>25</v>
      </c>
      <c r="M128" t="s">
        <v>25</v>
      </c>
      <c r="N128" t="s">
        <v>25</v>
      </c>
      <c r="O128" t="s">
        <v>48</v>
      </c>
      <c r="P128" t="s">
        <v>26</v>
      </c>
      <c r="Q128">
        <v>54</v>
      </c>
      <c r="R128" t="s">
        <v>39</v>
      </c>
      <c r="S128" s="2">
        <v>39.56</v>
      </c>
      <c r="T128" s="3">
        <v>1101.71</v>
      </c>
      <c r="U128" s="4">
        <v>44779</v>
      </c>
      <c r="V128" t="s">
        <v>25</v>
      </c>
      <c r="W128" t="s">
        <v>30</v>
      </c>
    </row>
    <row r="129" spans="1:23" x14ac:dyDescent="0.35">
      <c r="A129">
        <v>1128</v>
      </c>
      <c r="B129" t="s">
        <v>34</v>
      </c>
      <c r="C129" t="s">
        <v>25</v>
      </c>
      <c r="D129" t="s">
        <v>25</v>
      </c>
      <c r="E129" t="s">
        <v>25</v>
      </c>
      <c r="F129" t="s">
        <v>26</v>
      </c>
      <c r="G129" t="s">
        <v>25</v>
      </c>
      <c r="H129" t="s">
        <v>35</v>
      </c>
      <c r="I129" t="s">
        <v>26</v>
      </c>
      <c r="J129" t="s">
        <v>26</v>
      </c>
      <c r="K129" t="s">
        <v>25</v>
      </c>
      <c r="L129" t="s">
        <v>25</v>
      </c>
      <c r="M129" t="s">
        <v>25</v>
      </c>
      <c r="N129" t="s">
        <v>26</v>
      </c>
      <c r="O129" t="s">
        <v>41</v>
      </c>
      <c r="P129" t="s">
        <v>26</v>
      </c>
      <c r="Q129">
        <v>58</v>
      </c>
      <c r="R129" t="s">
        <v>33</v>
      </c>
      <c r="S129" s="2">
        <f>T129/Q129</f>
        <v>135.56293103448274</v>
      </c>
      <c r="T129" s="3">
        <v>7862.65</v>
      </c>
      <c r="U129" s="4">
        <v>43902</v>
      </c>
      <c r="V129" t="s">
        <v>25</v>
      </c>
      <c r="W129" t="s">
        <v>30</v>
      </c>
    </row>
    <row r="130" spans="1:23" x14ac:dyDescent="0.35">
      <c r="A130">
        <v>1129</v>
      </c>
      <c r="B130" t="s">
        <v>34</v>
      </c>
      <c r="C130" t="s">
        <v>26</v>
      </c>
      <c r="D130" t="s">
        <v>26</v>
      </c>
      <c r="E130" t="s">
        <v>25</v>
      </c>
      <c r="F130" t="s">
        <v>26</v>
      </c>
      <c r="G130" t="s">
        <v>26</v>
      </c>
      <c r="H130" t="s">
        <v>27</v>
      </c>
      <c r="I130" t="s">
        <v>25</v>
      </c>
      <c r="J130" t="s">
        <v>25</v>
      </c>
      <c r="K130" t="s">
        <v>26</v>
      </c>
      <c r="L130" t="s">
        <v>25</v>
      </c>
      <c r="M130" t="s">
        <v>25</v>
      </c>
      <c r="N130" t="s">
        <v>26</v>
      </c>
      <c r="O130" t="s">
        <v>41</v>
      </c>
      <c r="P130" t="s">
        <v>26</v>
      </c>
      <c r="Q130">
        <v>23</v>
      </c>
      <c r="R130" t="s">
        <v>33</v>
      </c>
      <c r="S130" s="2">
        <v>36.979999999999997</v>
      </c>
      <c r="T130" s="3">
        <v>4838.1899999999996</v>
      </c>
      <c r="U130" s="4">
        <v>44346</v>
      </c>
      <c r="V130" t="s">
        <v>26</v>
      </c>
      <c r="W130" t="s">
        <v>30</v>
      </c>
    </row>
    <row r="131" spans="1:23" x14ac:dyDescent="0.35">
      <c r="A131">
        <v>1130</v>
      </c>
      <c r="B131" t="s">
        <v>0</v>
      </c>
      <c r="C131" t="s">
        <v>25</v>
      </c>
      <c r="D131" t="s">
        <v>26</v>
      </c>
      <c r="E131" t="s">
        <v>25</v>
      </c>
      <c r="F131" t="s">
        <v>26</v>
      </c>
      <c r="G131" t="s">
        <v>25</v>
      </c>
      <c r="H131" t="s">
        <v>27</v>
      </c>
      <c r="I131" t="s">
        <v>25</v>
      </c>
      <c r="J131" t="s">
        <v>25</v>
      </c>
      <c r="K131" t="s">
        <v>25</v>
      </c>
      <c r="L131" t="s">
        <v>26</v>
      </c>
      <c r="M131" t="s">
        <v>25</v>
      </c>
      <c r="N131" t="s">
        <v>25</v>
      </c>
      <c r="O131" t="s">
        <v>41</v>
      </c>
      <c r="P131" t="s">
        <v>26</v>
      </c>
      <c r="Q131">
        <v>6</v>
      </c>
      <c r="R131" t="s">
        <v>33</v>
      </c>
      <c r="S131" s="2">
        <v>84.43</v>
      </c>
      <c r="T131" s="3">
        <v>3659.72</v>
      </c>
      <c r="U131" s="4">
        <v>44200</v>
      </c>
      <c r="V131" t="s">
        <v>25</v>
      </c>
      <c r="W131" t="s">
        <v>30</v>
      </c>
    </row>
    <row r="132" spans="1:23" x14ac:dyDescent="0.35">
      <c r="A132">
        <v>1131</v>
      </c>
      <c r="B132" t="s">
        <v>31</v>
      </c>
      <c r="C132" t="s">
        <v>25</v>
      </c>
      <c r="D132" t="s">
        <v>26</v>
      </c>
      <c r="E132" t="s">
        <v>26</v>
      </c>
      <c r="F132" t="s">
        <v>26</v>
      </c>
      <c r="G132" t="s">
        <v>25</v>
      </c>
      <c r="H132" t="s">
        <v>27</v>
      </c>
      <c r="I132" t="s">
        <v>25</v>
      </c>
      <c r="J132" t="s">
        <v>25</v>
      </c>
      <c r="K132" t="s">
        <v>25</v>
      </c>
      <c r="L132" t="s">
        <v>25</v>
      </c>
      <c r="M132" t="s">
        <v>26</v>
      </c>
      <c r="N132" t="s">
        <v>25</v>
      </c>
      <c r="O132" t="s">
        <v>28</v>
      </c>
      <c r="P132" t="s">
        <v>25</v>
      </c>
      <c r="Q132">
        <v>55</v>
      </c>
      <c r="R132" t="s">
        <v>49</v>
      </c>
      <c r="S132" s="2">
        <v>36.57</v>
      </c>
      <c r="T132" s="3">
        <v>6159.51</v>
      </c>
      <c r="U132" s="4">
        <v>45235</v>
      </c>
      <c r="V132" t="s">
        <v>25</v>
      </c>
      <c r="W132" t="s">
        <v>30</v>
      </c>
    </row>
    <row r="133" spans="1:23" x14ac:dyDescent="0.35">
      <c r="A133">
        <v>1132</v>
      </c>
      <c r="B133" t="s">
        <v>34</v>
      </c>
      <c r="C133" t="s">
        <v>25</v>
      </c>
      <c r="D133" t="s">
        <v>26</v>
      </c>
      <c r="E133" t="s">
        <v>25</v>
      </c>
      <c r="F133" t="s">
        <v>25</v>
      </c>
      <c r="G133" t="s">
        <v>26</v>
      </c>
      <c r="H133" t="s">
        <v>27</v>
      </c>
      <c r="I133" t="s">
        <v>25</v>
      </c>
      <c r="J133" t="s">
        <v>26</v>
      </c>
      <c r="K133" t="s">
        <v>26</v>
      </c>
      <c r="L133" t="s">
        <v>26</v>
      </c>
      <c r="M133" t="s">
        <v>25</v>
      </c>
      <c r="N133" t="s">
        <v>26</v>
      </c>
      <c r="O133" t="s">
        <v>41</v>
      </c>
      <c r="P133" t="s">
        <v>25</v>
      </c>
      <c r="Q133">
        <v>46</v>
      </c>
      <c r="R133" t="s">
        <v>29</v>
      </c>
      <c r="S133" s="2">
        <v>79.180000000000007</v>
      </c>
      <c r="T133" s="3">
        <v>5860.86</v>
      </c>
      <c r="U133" s="4">
        <v>45221</v>
      </c>
      <c r="V133" t="s">
        <v>25</v>
      </c>
      <c r="W133" t="s">
        <v>30</v>
      </c>
    </row>
    <row r="134" spans="1:23" x14ac:dyDescent="0.35">
      <c r="A134">
        <v>1133</v>
      </c>
      <c r="B134" t="s">
        <v>34</v>
      </c>
      <c r="C134" t="s">
        <v>25</v>
      </c>
      <c r="D134" t="s">
        <v>25</v>
      </c>
      <c r="E134" t="s">
        <v>25</v>
      </c>
      <c r="F134" t="s">
        <v>26</v>
      </c>
      <c r="G134" t="s">
        <v>26</v>
      </c>
      <c r="H134" t="s">
        <v>27</v>
      </c>
      <c r="I134" t="s">
        <v>26</v>
      </c>
      <c r="J134" t="s">
        <v>26</v>
      </c>
      <c r="K134" t="s">
        <v>26</v>
      </c>
      <c r="L134" t="s">
        <v>25</v>
      </c>
      <c r="M134" t="s">
        <v>25</v>
      </c>
      <c r="N134" t="s">
        <v>26</v>
      </c>
      <c r="O134" t="s">
        <v>48</v>
      </c>
      <c r="P134" t="s">
        <v>26</v>
      </c>
      <c r="Q134">
        <v>14</v>
      </c>
      <c r="R134" t="s">
        <v>33</v>
      </c>
      <c r="S134" s="2">
        <v>119.5</v>
      </c>
      <c r="T134" s="3">
        <v>172.05</v>
      </c>
      <c r="U134" s="4">
        <v>43907</v>
      </c>
      <c r="V134" t="s">
        <v>25</v>
      </c>
      <c r="W134" t="s">
        <v>30</v>
      </c>
    </row>
    <row r="135" spans="1:23" x14ac:dyDescent="0.35">
      <c r="A135">
        <v>1134</v>
      </c>
      <c r="B135" t="s">
        <v>34</v>
      </c>
      <c r="C135" t="s">
        <v>25</v>
      </c>
      <c r="D135" t="s">
        <v>26</v>
      </c>
      <c r="E135" t="s">
        <v>25</v>
      </c>
      <c r="F135" t="s">
        <v>26</v>
      </c>
      <c r="G135" t="s">
        <v>25</v>
      </c>
      <c r="H135" t="s">
        <v>35</v>
      </c>
      <c r="I135" t="s">
        <v>26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45</v>
      </c>
      <c r="P135" t="s">
        <v>26</v>
      </c>
      <c r="Q135">
        <v>37</v>
      </c>
      <c r="R135" t="s">
        <v>39</v>
      </c>
      <c r="S135" s="2">
        <v>75.400000000000006</v>
      </c>
      <c r="T135" s="3">
        <v>4141.42</v>
      </c>
      <c r="U135" s="4">
        <v>43846</v>
      </c>
      <c r="V135" t="s">
        <v>25</v>
      </c>
      <c r="W135" t="s">
        <v>30</v>
      </c>
    </row>
    <row r="136" spans="1:23" x14ac:dyDescent="0.35">
      <c r="A136">
        <v>1135</v>
      </c>
      <c r="B136" t="s">
        <v>31</v>
      </c>
      <c r="C136" t="s">
        <v>25</v>
      </c>
      <c r="D136" t="s">
        <v>25</v>
      </c>
      <c r="E136" t="s">
        <v>25</v>
      </c>
      <c r="F136" t="s">
        <v>26</v>
      </c>
      <c r="G136" t="s">
        <v>26</v>
      </c>
      <c r="H136" t="s">
        <v>35</v>
      </c>
      <c r="I136" t="s">
        <v>25</v>
      </c>
      <c r="J136" t="s">
        <v>25</v>
      </c>
      <c r="K136" t="s">
        <v>25</v>
      </c>
      <c r="L136" t="s">
        <v>25</v>
      </c>
      <c r="M136" t="s">
        <v>26</v>
      </c>
      <c r="N136" t="s">
        <v>26</v>
      </c>
      <c r="O136" t="s">
        <v>41</v>
      </c>
      <c r="P136" t="s">
        <v>26</v>
      </c>
      <c r="Q136">
        <v>43</v>
      </c>
      <c r="R136" t="s">
        <v>33</v>
      </c>
      <c r="S136" s="2">
        <v>48.95</v>
      </c>
      <c r="T136" s="3">
        <v>519.95000000000005</v>
      </c>
      <c r="U136" s="4">
        <v>44892</v>
      </c>
      <c r="V136" t="s">
        <v>26</v>
      </c>
      <c r="W136" t="s">
        <v>30</v>
      </c>
    </row>
    <row r="137" spans="1:23" x14ac:dyDescent="0.35">
      <c r="A137">
        <v>1136</v>
      </c>
      <c r="B137" t="s">
        <v>34</v>
      </c>
      <c r="C137" t="s">
        <v>25</v>
      </c>
      <c r="D137" t="s">
        <v>26</v>
      </c>
      <c r="E137" t="s">
        <v>25</v>
      </c>
      <c r="F137" t="s">
        <v>26</v>
      </c>
      <c r="G137" t="s">
        <v>26</v>
      </c>
      <c r="H137" t="s">
        <v>35</v>
      </c>
      <c r="I137" t="s">
        <v>25</v>
      </c>
      <c r="J137" t="s">
        <v>25</v>
      </c>
      <c r="K137" t="s">
        <v>26</v>
      </c>
      <c r="L137" t="s">
        <v>25</v>
      </c>
      <c r="M137" t="s">
        <v>25</v>
      </c>
      <c r="N137" t="s">
        <v>26</v>
      </c>
      <c r="O137" t="s">
        <v>41</v>
      </c>
      <c r="P137" t="s">
        <v>26</v>
      </c>
      <c r="Q137">
        <v>40</v>
      </c>
      <c r="R137" t="s">
        <v>39</v>
      </c>
      <c r="S137" s="2">
        <v>80.900000000000006</v>
      </c>
      <c r="T137" s="3">
        <v>1764.93</v>
      </c>
      <c r="U137" s="4">
        <v>43984</v>
      </c>
      <c r="V137" t="s">
        <v>25</v>
      </c>
      <c r="W137" t="s">
        <v>30</v>
      </c>
    </row>
    <row r="138" spans="1:23" x14ac:dyDescent="0.35">
      <c r="A138">
        <v>1137</v>
      </c>
      <c r="B138" t="s">
        <v>31</v>
      </c>
      <c r="C138" t="s">
        <v>25</v>
      </c>
      <c r="D138" t="s">
        <v>26</v>
      </c>
      <c r="E138" t="s">
        <v>25</v>
      </c>
      <c r="F138" t="s">
        <v>26</v>
      </c>
      <c r="G138" t="s">
        <v>26</v>
      </c>
      <c r="H138" t="s">
        <v>35</v>
      </c>
      <c r="I138" t="s">
        <v>25</v>
      </c>
      <c r="J138" t="s">
        <v>26</v>
      </c>
      <c r="K138" t="s">
        <v>25</v>
      </c>
      <c r="L138" t="s">
        <v>26</v>
      </c>
      <c r="M138" t="s">
        <v>25</v>
      </c>
      <c r="N138" t="s">
        <v>25</v>
      </c>
      <c r="O138" t="s">
        <v>41</v>
      </c>
      <c r="P138" t="s">
        <v>25</v>
      </c>
      <c r="Q138">
        <v>26</v>
      </c>
      <c r="R138" t="s">
        <v>39</v>
      </c>
      <c r="S138" s="2">
        <f>T138/Q138</f>
        <v>13.761153846153848</v>
      </c>
      <c r="T138" s="3">
        <v>357.79</v>
      </c>
      <c r="U138" s="4">
        <v>44596</v>
      </c>
      <c r="V138" t="s">
        <v>25</v>
      </c>
      <c r="W138" t="s">
        <v>30</v>
      </c>
    </row>
    <row r="139" spans="1:23" x14ac:dyDescent="0.35">
      <c r="A139">
        <v>1138</v>
      </c>
      <c r="B139" t="s">
        <v>34</v>
      </c>
      <c r="C139" t="s">
        <v>25</v>
      </c>
      <c r="D139" t="s">
        <v>26</v>
      </c>
      <c r="E139" t="s">
        <v>25</v>
      </c>
      <c r="F139" t="s">
        <v>26</v>
      </c>
      <c r="G139" t="s">
        <v>25</v>
      </c>
      <c r="H139" t="s">
        <v>35</v>
      </c>
      <c r="I139" t="s">
        <v>25</v>
      </c>
      <c r="J139" t="s">
        <v>25</v>
      </c>
      <c r="K139" t="s">
        <v>26</v>
      </c>
      <c r="L139" t="s">
        <v>25</v>
      </c>
      <c r="M139" t="s">
        <v>26</v>
      </c>
      <c r="N139" t="s">
        <v>25</v>
      </c>
      <c r="O139" t="s">
        <v>41</v>
      </c>
      <c r="P139" t="s">
        <v>25</v>
      </c>
      <c r="Q139">
        <v>48</v>
      </c>
      <c r="R139" t="s">
        <v>49</v>
      </c>
      <c r="S139" s="2">
        <v>84.7</v>
      </c>
      <c r="T139" s="3">
        <v>6026.36</v>
      </c>
      <c r="U139" s="4">
        <v>44651</v>
      </c>
      <c r="V139" t="s">
        <v>25</v>
      </c>
      <c r="W139" t="s">
        <v>30</v>
      </c>
    </row>
    <row r="140" spans="1:23" x14ac:dyDescent="0.35">
      <c r="A140">
        <v>1139</v>
      </c>
      <c r="B140" t="s">
        <v>31</v>
      </c>
      <c r="C140" t="s">
        <v>25</v>
      </c>
      <c r="D140" t="s">
        <v>26</v>
      </c>
      <c r="E140" t="s">
        <v>25</v>
      </c>
      <c r="F140" t="s">
        <v>26</v>
      </c>
      <c r="G140" t="s">
        <v>26</v>
      </c>
      <c r="H140" t="s">
        <v>35</v>
      </c>
      <c r="I140" t="s">
        <v>25</v>
      </c>
      <c r="J140" t="s">
        <v>26</v>
      </c>
      <c r="K140" t="s">
        <v>26</v>
      </c>
      <c r="L140" t="s">
        <v>25</v>
      </c>
      <c r="M140" t="s">
        <v>26</v>
      </c>
      <c r="N140" t="s">
        <v>26</v>
      </c>
      <c r="O140" t="s">
        <v>45</v>
      </c>
      <c r="P140" t="s">
        <v>25</v>
      </c>
      <c r="Q140">
        <v>1</v>
      </c>
      <c r="R140" t="s">
        <v>29</v>
      </c>
      <c r="S140" s="2">
        <v>116.76</v>
      </c>
      <c r="T140" s="3">
        <v>729.85</v>
      </c>
      <c r="U140" s="4">
        <v>44743</v>
      </c>
      <c r="V140" t="s">
        <v>25</v>
      </c>
      <c r="W140" t="s">
        <v>30</v>
      </c>
    </row>
    <row r="141" spans="1:23" x14ac:dyDescent="0.35">
      <c r="A141">
        <v>1140</v>
      </c>
      <c r="B141" t="s">
        <v>31</v>
      </c>
      <c r="C141" t="s">
        <v>25</v>
      </c>
      <c r="D141" t="s">
        <v>25</v>
      </c>
      <c r="E141" t="s">
        <v>26</v>
      </c>
      <c r="F141" t="s">
        <v>26</v>
      </c>
      <c r="G141" t="s">
        <v>26</v>
      </c>
      <c r="H141" t="s">
        <v>25</v>
      </c>
      <c r="I141" t="s">
        <v>25</v>
      </c>
      <c r="J141" t="s">
        <v>25</v>
      </c>
      <c r="K141" t="s">
        <v>25</v>
      </c>
      <c r="L141" t="s">
        <v>26</v>
      </c>
      <c r="M141" t="s">
        <v>25</v>
      </c>
      <c r="N141" t="s">
        <v>25</v>
      </c>
      <c r="O141" t="s">
        <v>41</v>
      </c>
      <c r="P141" t="s">
        <v>25</v>
      </c>
      <c r="Q141">
        <v>65</v>
      </c>
      <c r="R141" t="s">
        <v>39</v>
      </c>
      <c r="S141" s="2">
        <v>37.950000000000003</v>
      </c>
      <c r="T141" s="3">
        <v>1834.39</v>
      </c>
      <c r="U141" s="4">
        <v>45459</v>
      </c>
      <c r="V141" t="s">
        <v>25</v>
      </c>
      <c r="W141" t="s">
        <v>30</v>
      </c>
    </row>
    <row r="142" spans="1:23" x14ac:dyDescent="0.35">
      <c r="A142">
        <v>1141</v>
      </c>
      <c r="B142" t="s">
        <v>34</v>
      </c>
      <c r="C142" t="s">
        <v>25</v>
      </c>
      <c r="D142" t="s">
        <v>26</v>
      </c>
      <c r="E142" t="s">
        <v>25</v>
      </c>
      <c r="F142" t="s">
        <v>26</v>
      </c>
      <c r="G142" t="s">
        <v>26</v>
      </c>
      <c r="H142" t="s">
        <v>27</v>
      </c>
      <c r="I142" t="s">
        <v>26</v>
      </c>
      <c r="J142" t="s">
        <v>25</v>
      </c>
      <c r="K142" t="s">
        <v>26</v>
      </c>
      <c r="L142" t="s">
        <v>25</v>
      </c>
      <c r="M142" t="s">
        <v>26</v>
      </c>
      <c r="N142" t="s">
        <v>26</v>
      </c>
      <c r="O142" t="s">
        <v>41</v>
      </c>
      <c r="P142" t="s">
        <v>26</v>
      </c>
      <c r="Q142">
        <v>2</v>
      </c>
      <c r="R142" t="s">
        <v>49</v>
      </c>
      <c r="S142" s="2">
        <v>20.82</v>
      </c>
      <c r="T142" s="3">
        <v>481.51</v>
      </c>
      <c r="U142" s="4">
        <v>45047</v>
      </c>
      <c r="V142" t="s">
        <v>25</v>
      </c>
      <c r="W142" t="s">
        <v>30</v>
      </c>
    </row>
    <row r="143" spans="1:23" x14ac:dyDescent="0.35">
      <c r="A143">
        <v>1142</v>
      </c>
      <c r="B143" t="s">
        <v>31</v>
      </c>
      <c r="C143" t="s">
        <v>26</v>
      </c>
      <c r="D143" t="s">
        <v>25</v>
      </c>
      <c r="E143" t="s">
        <v>26</v>
      </c>
      <c r="F143" t="s">
        <v>26</v>
      </c>
      <c r="G143" t="s">
        <v>26</v>
      </c>
      <c r="H143" t="s">
        <v>35</v>
      </c>
      <c r="I143" t="s">
        <v>26</v>
      </c>
      <c r="J143" t="s">
        <v>26</v>
      </c>
      <c r="K143" t="s">
        <v>26</v>
      </c>
      <c r="L143" t="s">
        <v>25</v>
      </c>
      <c r="M143" t="s">
        <v>25</v>
      </c>
      <c r="N143" t="s">
        <v>26</v>
      </c>
      <c r="O143" t="s">
        <v>45</v>
      </c>
      <c r="P143" t="s">
        <v>26</v>
      </c>
      <c r="Q143">
        <v>16</v>
      </c>
      <c r="R143" t="s">
        <v>29</v>
      </c>
      <c r="S143" s="2">
        <v>26.27</v>
      </c>
      <c r="T143" s="3">
        <v>6361.31</v>
      </c>
      <c r="U143" s="4">
        <v>44729</v>
      </c>
      <c r="V143" t="s">
        <v>25</v>
      </c>
      <c r="W143" t="s">
        <v>30</v>
      </c>
    </row>
    <row r="144" spans="1:23" x14ac:dyDescent="0.35">
      <c r="A144">
        <v>1143</v>
      </c>
      <c r="B144" t="s">
        <v>34</v>
      </c>
      <c r="C144" t="s">
        <v>25</v>
      </c>
      <c r="D144" t="s">
        <v>26</v>
      </c>
      <c r="E144" t="s">
        <v>26</v>
      </c>
      <c r="F144" t="s">
        <v>26</v>
      </c>
      <c r="G144" t="s">
        <v>26</v>
      </c>
      <c r="H144" t="s">
        <v>27</v>
      </c>
      <c r="I144" t="s">
        <v>26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41</v>
      </c>
      <c r="P144" t="s">
        <v>26</v>
      </c>
      <c r="Q144">
        <v>60</v>
      </c>
      <c r="R144" t="s">
        <v>39</v>
      </c>
      <c r="S144" s="2">
        <v>48.42</v>
      </c>
      <c r="T144" s="3">
        <v>3808.39</v>
      </c>
      <c r="U144" s="4">
        <v>45274</v>
      </c>
      <c r="V144" t="s">
        <v>26</v>
      </c>
      <c r="W144" t="s">
        <v>30</v>
      </c>
    </row>
    <row r="145" spans="1:23" x14ac:dyDescent="0.35">
      <c r="A145">
        <v>1144</v>
      </c>
      <c r="B145" t="s">
        <v>34</v>
      </c>
      <c r="C145" t="s">
        <v>25</v>
      </c>
      <c r="D145" t="s">
        <v>25</v>
      </c>
      <c r="E145" t="s">
        <v>25</v>
      </c>
      <c r="F145" t="s">
        <v>26</v>
      </c>
      <c r="G145" t="s">
        <v>25</v>
      </c>
      <c r="H145" t="s">
        <v>35</v>
      </c>
      <c r="I145" t="s">
        <v>25</v>
      </c>
      <c r="J145" t="s">
        <v>26</v>
      </c>
      <c r="K145" t="s">
        <v>25</v>
      </c>
      <c r="L145" t="s">
        <v>26</v>
      </c>
      <c r="M145" t="s">
        <v>26</v>
      </c>
      <c r="N145" t="s">
        <v>25</v>
      </c>
      <c r="O145" t="s">
        <v>41</v>
      </c>
      <c r="P145" t="s">
        <v>25</v>
      </c>
      <c r="Q145">
        <v>60</v>
      </c>
      <c r="R145" t="s">
        <v>39</v>
      </c>
      <c r="S145" s="2">
        <v>37.770000000000003</v>
      </c>
      <c r="T145" s="3">
        <v>1014.6</v>
      </c>
      <c r="U145" s="4">
        <v>45379</v>
      </c>
      <c r="V145" t="s">
        <v>26</v>
      </c>
      <c r="W145" t="s">
        <v>30</v>
      </c>
    </row>
    <row r="146" spans="1:23" x14ac:dyDescent="0.35">
      <c r="A146">
        <v>1145</v>
      </c>
      <c r="B146" t="s">
        <v>34</v>
      </c>
      <c r="C146" t="s">
        <v>25</v>
      </c>
      <c r="D146" t="s">
        <v>25</v>
      </c>
      <c r="E146" t="s">
        <v>25</v>
      </c>
      <c r="F146" t="s">
        <v>26</v>
      </c>
      <c r="G146" t="s">
        <v>26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26</v>
      </c>
      <c r="N146" t="s">
        <v>25</v>
      </c>
      <c r="O146" t="s">
        <v>28</v>
      </c>
      <c r="P146" t="s">
        <v>26</v>
      </c>
      <c r="Q146">
        <v>3</v>
      </c>
      <c r="R146" t="s">
        <v>29</v>
      </c>
      <c r="S146" s="2">
        <v>93.89</v>
      </c>
      <c r="T146" s="3">
        <v>6083.75</v>
      </c>
      <c r="U146" s="4">
        <v>45228</v>
      </c>
      <c r="V146" t="s">
        <v>25</v>
      </c>
      <c r="W146" t="s">
        <v>30</v>
      </c>
    </row>
    <row r="147" spans="1:23" x14ac:dyDescent="0.35">
      <c r="A147">
        <v>1146</v>
      </c>
      <c r="B147" t="s">
        <v>34</v>
      </c>
      <c r="C147" t="s">
        <v>25</v>
      </c>
      <c r="D147" t="s">
        <v>25</v>
      </c>
      <c r="E147" t="s">
        <v>25</v>
      </c>
      <c r="F147" t="s">
        <v>26</v>
      </c>
      <c r="G147" t="s">
        <v>25</v>
      </c>
      <c r="H147" t="s">
        <v>35</v>
      </c>
      <c r="I147" t="s">
        <v>25</v>
      </c>
      <c r="J147" t="s">
        <v>25</v>
      </c>
      <c r="K147" t="s">
        <v>25</v>
      </c>
      <c r="L147" t="s">
        <v>25</v>
      </c>
      <c r="M147" t="s">
        <v>26</v>
      </c>
      <c r="N147" t="s">
        <v>25</v>
      </c>
      <c r="O147" t="s">
        <v>41</v>
      </c>
      <c r="P147" t="s">
        <v>26</v>
      </c>
      <c r="Q147">
        <v>55</v>
      </c>
      <c r="R147" t="s">
        <v>39</v>
      </c>
      <c r="S147" s="2">
        <v>95.24</v>
      </c>
      <c r="T147" s="3">
        <v>7069</v>
      </c>
      <c r="U147" s="4">
        <v>45184</v>
      </c>
      <c r="V147" t="s">
        <v>25</v>
      </c>
      <c r="W147" t="s">
        <v>50</v>
      </c>
    </row>
    <row r="148" spans="1:23" x14ac:dyDescent="0.35">
      <c r="A148">
        <v>1147</v>
      </c>
      <c r="B148" t="s">
        <v>31</v>
      </c>
      <c r="C148" t="s">
        <v>25</v>
      </c>
      <c r="D148" t="s">
        <v>26</v>
      </c>
      <c r="E148" t="s">
        <v>26</v>
      </c>
      <c r="F148" t="s">
        <v>26</v>
      </c>
      <c r="G148" t="s">
        <v>25</v>
      </c>
      <c r="H148" t="s">
        <v>25</v>
      </c>
      <c r="I148" t="s">
        <v>25</v>
      </c>
      <c r="J148" t="s">
        <v>26</v>
      </c>
      <c r="K148" t="s">
        <v>25</v>
      </c>
      <c r="L148" t="s">
        <v>25</v>
      </c>
      <c r="M148" t="s">
        <v>25</v>
      </c>
      <c r="N148" t="s">
        <v>26</v>
      </c>
      <c r="O148" t="s">
        <v>41</v>
      </c>
      <c r="P148" t="s">
        <v>26</v>
      </c>
      <c r="Q148">
        <v>57</v>
      </c>
      <c r="R148" t="s">
        <v>39</v>
      </c>
      <c r="S148" s="2">
        <v>49.29</v>
      </c>
      <c r="T148" s="3">
        <v>5686.37</v>
      </c>
      <c r="U148" s="4">
        <v>44150</v>
      </c>
      <c r="V148" t="s">
        <v>25</v>
      </c>
      <c r="W148" t="s">
        <v>30</v>
      </c>
    </row>
    <row r="149" spans="1:23" x14ac:dyDescent="0.35">
      <c r="A149">
        <v>1148</v>
      </c>
      <c r="B149" t="s">
        <v>34</v>
      </c>
      <c r="C149" t="s">
        <v>25</v>
      </c>
      <c r="D149" t="s">
        <v>25</v>
      </c>
      <c r="E149" t="s">
        <v>26</v>
      </c>
      <c r="F149" t="s">
        <v>26</v>
      </c>
      <c r="G149" t="s">
        <v>26</v>
      </c>
      <c r="H149" t="s">
        <v>25</v>
      </c>
      <c r="I149" t="s">
        <v>26</v>
      </c>
      <c r="J149" t="s">
        <v>26</v>
      </c>
      <c r="K149" t="s">
        <v>26</v>
      </c>
      <c r="L149" t="s">
        <v>25</v>
      </c>
      <c r="M149" t="s">
        <v>25</v>
      </c>
      <c r="N149" t="s">
        <v>25</v>
      </c>
      <c r="O149" t="s">
        <v>48</v>
      </c>
      <c r="P149" t="s">
        <v>26</v>
      </c>
      <c r="Q149">
        <v>39</v>
      </c>
      <c r="R149" t="s">
        <v>39</v>
      </c>
      <c r="S149" s="2">
        <v>30.06</v>
      </c>
      <c r="T149" s="3">
        <v>2070.0500000000002</v>
      </c>
      <c r="U149" s="4">
        <v>45324</v>
      </c>
      <c r="V149" t="s">
        <v>25</v>
      </c>
      <c r="W149" t="s">
        <v>30</v>
      </c>
    </row>
    <row r="150" spans="1:23" x14ac:dyDescent="0.35">
      <c r="A150">
        <v>1149</v>
      </c>
      <c r="B150" t="s">
        <v>31</v>
      </c>
      <c r="C150" t="s">
        <v>25</v>
      </c>
      <c r="D150" t="s">
        <v>26</v>
      </c>
      <c r="E150" t="s">
        <v>25</v>
      </c>
      <c r="F150" t="s">
        <v>25</v>
      </c>
      <c r="G150" t="s">
        <v>25</v>
      </c>
      <c r="H150" t="s">
        <v>35</v>
      </c>
      <c r="I150" t="s">
        <v>25</v>
      </c>
      <c r="J150" t="s">
        <v>26</v>
      </c>
      <c r="K150" t="s">
        <v>26</v>
      </c>
      <c r="L150" t="s">
        <v>25</v>
      </c>
      <c r="M150" t="s">
        <v>25</v>
      </c>
      <c r="N150" t="s">
        <v>25</v>
      </c>
      <c r="O150" t="s">
        <v>45</v>
      </c>
      <c r="P150" t="s">
        <v>26</v>
      </c>
      <c r="Q150">
        <v>52</v>
      </c>
      <c r="R150" t="s">
        <v>39</v>
      </c>
      <c r="S150" s="2">
        <v>70.81</v>
      </c>
      <c r="T150" s="3">
        <v>7436.46</v>
      </c>
      <c r="U150" s="4">
        <v>44824</v>
      </c>
      <c r="V150" t="s">
        <v>25</v>
      </c>
      <c r="W150" t="s">
        <v>30</v>
      </c>
    </row>
    <row r="151" spans="1:23" x14ac:dyDescent="0.35">
      <c r="A151">
        <v>1150</v>
      </c>
      <c r="B151" t="s">
        <v>34</v>
      </c>
      <c r="C151" t="s">
        <v>25</v>
      </c>
      <c r="D151" t="s">
        <v>26</v>
      </c>
      <c r="E151" t="s">
        <v>25</v>
      </c>
      <c r="F151" t="s">
        <v>26</v>
      </c>
      <c r="G151" t="s">
        <v>25</v>
      </c>
      <c r="H151" t="s">
        <v>27</v>
      </c>
      <c r="I151" t="s">
        <v>26</v>
      </c>
      <c r="J151" t="s">
        <v>25</v>
      </c>
      <c r="K151" t="s">
        <v>26</v>
      </c>
      <c r="L151" t="s">
        <v>25</v>
      </c>
      <c r="M151" t="s">
        <v>25</v>
      </c>
      <c r="N151" t="s">
        <v>25</v>
      </c>
      <c r="O151" t="s">
        <v>41</v>
      </c>
      <c r="P151" t="s">
        <v>26</v>
      </c>
      <c r="Q151">
        <v>32</v>
      </c>
      <c r="R151" t="s">
        <v>33</v>
      </c>
      <c r="S151" s="2">
        <v>115.93</v>
      </c>
      <c r="T151" s="3">
        <v>2480.27</v>
      </c>
      <c r="U151" s="4">
        <v>44133</v>
      </c>
      <c r="V151" t="s">
        <v>25</v>
      </c>
      <c r="W151" t="s">
        <v>30</v>
      </c>
    </row>
    <row r="152" spans="1:23" x14ac:dyDescent="0.35">
      <c r="A152">
        <v>1151</v>
      </c>
      <c r="B152" t="s">
        <v>31</v>
      </c>
      <c r="C152" t="s">
        <v>26</v>
      </c>
      <c r="D152" t="s">
        <v>26</v>
      </c>
      <c r="E152" t="s">
        <v>26</v>
      </c>
      <c r="F152" t="s">
        <v>26</v>
      </c>
      <c r="G152" t="s">
        <v>25</v>
      </c>
      <c r="H152" t="s">
        <v>27</v>
      </c>
      <c r="I152" t="s">
        <v>26</v>
      </c>
      <c r="J152" t="s">
        <v>25</v>
      </c>
      <c r="K152" t="s">
        <v>25</v>
      </c>
      <c r="L152" t="s">
        <v>25</v>
      </c>
      <c r="M152" t="s">
        <v>26</v>
      </c>
      <c r="N152" t="s">
        <v>25</v>
      </c>
      <c r="O152" t="s">
        <v>41</v>
      </c>
      <c r="P152" t="s">
        <v>26</v>
      </c>
      <c r="Q152">
        <v>20</v>
      </c>
      <c r="R152" t="s">
        <v>39</v>
      </c>
      <c r="S152" s="2">
        <v>103.01</v>
      </c>
      <c r="T152" s="3">
        <v>2146.02</v>
      </c>
      <c r="U152" s="4">
        <v>44278</v>
      </c>
      <c r="V152" t="s">
        <v>25</v>
      </c>
      <c r="W152" t="s">
        <v>30</v>
      </c>
    </row>
    <row r="153" spans="1:23" x14ac:dyDescent="0.35">
      <c r="A153">
        <v>1152</v>
      </c>
      <c r="B153" t="s">
        <v>34</v>
      </c>
      <c r="C153" t="s">
        <v>25</v>
      </c>
      <c r="D153" t="s">
        <v>25</v>
      </c>
      <c r="E153" t="s">
        <v>25</v>
      </c>
      <c r="F153" t="s">
        <v>25</v>
      </c>
      <c r="G153" t="s">
        <v>26</v>
      </c>
      <c r="H153" t="s">
        <v>27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26</v>
      </c>
      <c r="O153" t="s">
        <v>28</v>
      </c>
      <c r="P153" t="s">
        <v>25</v>
      </c>
      <c r="Q153">
        <v>19</v>
      </c>
      <c r="R153" t="s">
        <v>39</v>
      </c>
      <c r="S153" s="2">
        <v>78.02</v>
      </c>
      <c r="T153" s="3">
        <v>2883.34</v>
      </c>
      <c r="U153" s="4">
        <v>44112</v>
      </c>
      <c r="V153" t="s">
        <v>25</v>
      </c>
      <c r="W153" t="s">
        <v>30</v>
      </c>
    </row>
    <row r="154" spans="1:23" x14ac:dyDescent="0.35">
      <c r="A154">
        <v>1153</v>
      </c>
      <c r="B154" t="s">
        <v>34</v>
      </c>
      <c r="C154" t="s">
        <v>26</v>
      </c>
      <c r="D154" t="s">
        <v>25</v>
      </c>
      <c r="E154" t="s">
        <v>25</v>
      </c>
      <c r="F154" t="s">
        <v>26</v>
      </c>
      <c r="G154" t="s">
        <v>25</v>
      </c>
      <c r="H154" t="s">
        <v>35</v>
      </c>
      <c r="I154" t="s">
        <v>25</v>
      </c>
      <c r="J154" t="s">
        <v>25</v>
      </c>
      <c r="K154" t="s">
        <v>26</v>
      </c>
      <c r="L154" t="s">
        <v>25</v>
      </c>
      <c r="M154" t="s">
        <v>25</v>
      </c>
      <c r="N154" t="s">
        <v>26</v>
      </c>
      <c r="O154" t="s">
        <v>45</v>
      </c>
      <c r="P154" t="s">
        <v>26</v>
      </c>
      <c r="Q154">
        <v>9</v>
      </c>
      <c r="R154" t="s">
        <v>49</v>
      </c>
      <c r="S154" s="2">
        <v>71.17</v>
      </c>
      <c r="T154" s="3">
        <v>3765.53</v>
      </c>
      <c r="U154" s="4">
        <v>44575</v>
      </c>
      <c r="V154" t="s">
        <v>25</v>
      </c>
      <c r="W154" t="s">
        <v>30</v>
      </c>
    </row>
    <row r="155" spans="1:23" x14ac:dyDescent="0.35">
      <c r="A155">
        <v>1154</v>
      </c>
      <c r="B155" t="s">
        <v>31</v>
      </c>
      <c r="C155" t="s">
        <v>25</v>
      </c>
      <c r="D155" t="s">
        <v>26</v>
      </c>
      <c r="E155" t="s">
        <v>25</v>
      </c>
      <c r="F155" t="s">
        <v>25</v>
      </c>
      <c r="G155" t="s">
        <v>26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26</v>
      </c>
      <c r="N155" t="s">
        <v>25</v>
      </c>
      <c r="O155" t="s">
        <v>41</v>
      </c>
      <c r="P155" t="s">
        <v>25</v>
      </c>
      <c r="Q155">
        <v>4</v>
      </c>
      <c r="R155" t="s">
        <v>39</v>
      </c>
      <c r="S155" s="2">
        <v>119.2</v>
      </c>
      <c r="T155" s="3">
        <v>6147.01</v>
      </c>
      <c r="U155" s="4">
        <v>44439</v>
      </c>
      <c r="V155" t="s">
        <v>25</v>
      </c>
      <c r="W155" t="s">
        <v>30</v>
      </c>
    </row>
    <row r="156" spans="1:23" x14ac:dyDescent="0.35">
      <c r="A156">
        <v>1155</v>
      </c>
      <c r="B156" t="s">
        <v>34</v>
      </c>
      <c r="C156" t="s">
        <v>25</v>
      </c>
      <c r="D156" t="s">
        <v>25</v>
      </c>
      <c r="E156" t="s">
        <v>25</v>
      </c>
      <c r="F156" t="s">
        <v>26</v>
      </c>
      <c r="G156" t="s">
        <v>26</v>
      </c>
      <c r="H156" t="s">
        <v>35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25</v>
      </c>
      <c r="O156" t="s">
        <v>41</v>
      </c>
      <c r="P156" t="s">
        <v>26</v>
      </c>
      <c r="Q156">
        <v>45</v>
      </c>
      <c r="R156" t="s">
        <v>49</v>
      </c>
      <c r="S156" s="2">
        <v>74.69</v>
      </c>
      <c r="T156" s="3">
        <v>2611.25</v>
      </c>
      <c r="U156" s="4">
        <v>44302</v>
      </c>
      <c r="V156" t="s">
        <v>25</v>
      </c>
      <c r="W156" t="s">
        <v>30</v>
      </c>
    </row>
    <row r="157" spans="1:23" x14ac:dyDescent="0.35">
      <c r="A157">
        <v>1156</v>
      </c>
      <c r="B157" t="s">
        <v>31</v>
      </c>
      <c r="C157" t="s">
        <v>25</v>
      </c>
      <c r="D157" t="s">
        <v>25</v>
      </c>
      <c r="E157" t="s">
        <v>25</v>
      </c>
      <c r="F157" t="s">
        <v>26</v>
      </c>
      <c r="G157" t="s">
        <v>25</v>
      </c>
      <c r="H157" t="s">
        <v>35</v>
      </c>
      <c r="I157" t="s">
        <v>25</v>
      </c>
      <c r="J157" t="s">
        <v>25</v>
      </c>
      <c r="K157" t="s">
        <v>25</v>
      </c>
      <c r="L157" t="s">
        <v>26</v>
      </c>
      <c r="M157" t="s">
        <v>26</v>
      </c>
      <c r="N157" t="s">
        <v>25</v>
      </c>
      <c r="O157" t="s">
        <v>45</v>
      </c>
      <c r="P157" t="s">
        <v>26</v>
      </c>
      <c r="Q157">
        <v>14</v>
      </c>
      <c r="R157" t="s">
        <v>29</v>
      </c>
      <c r="S157" s="2">
        <v>38.01</v>
      </c>
      <c r="T157" s="3">
        <v>2212.64</v>
      </c>
      <c r="U157" s="4">
        <v>44152</v>
      </c>
      <c r="V157" t="s">
        <v>25</v>
      </c>
      <c r="W157" t="s">
        <v>30</v>
      </c>
    </row>
    <row r="158" spans="1:23" x14ac:dyDescent="0.35">
      <c r="A158">
        <v>1157</v>
      </c>
      <c r="B158" t="s">
        <v>31</v>
      </c>
      <c r="C158" t="s">
        <v>25</v>
      </c>
      <c r="D158" t="s">
        <v>26</v>
      </c>
      <c r="E158" t="s">
        <v>26</v>
      </c>
      <c r="F158" t="s">
        <v>26</v>
      </c>
      <c r="G158" t="s">
        <v>26</v>
      </c>
      <c r="H158" t="s">
        <v>27</v>
      </c>
      <c r="I158" t="s">
        <v>26</v>
      </c>
      <c r="J158" t="s">
        <v>26</v>
      </c>
      <c r="K158" t="s">
        <v>26</v>
      </c>
      <c r="L158" t="s">
        <v>25</v>
      </c>
      <c r="M158" t="s">
        <v>26</v>
      </c>
      <c r="N158" t="s">
        <v>25</v>
      </c>
      <c r="O158" t="s">
        <v>41</v>
      </c>
      <c r="P158" t="s">
        <v>26</v>
      </c>
      <c r="Q158">
        <v>47</v>
      </c>
      <c r="R158" t="s">
        <v>49</v>
      </c>
      <c r="S158" s="2">
        <v>57.44</v>
      </c>
      <c r="T158" s="3">
        <v>2689.69</v>
      </c>
      <c r="U158" s="4">
        <v>44107</v>
      </c>
      <c r="V158" t="s">
        <v>25</v>
      </c>
      <c r="W158" t="s">
        <v>30</v>
      </c>
    </row>
    <row r="159" spans="1:23" x14ac:dyDescent="0.35">
      <c r="A159">
        <v>1158</v>
      </c>
      <c r="B159" t="s">
        <v>34</v>
      </c>
      <c r="C159" t="s">
        <v>25</v>
      </c>
      <c r="D159" t="s">
        <v>26</v>
      </c>
      <c r="E159" t="s">
        <v>25</v>
      </c>
      <c r="F159" t="s">
        <v>26</v>
      </c>
      <c r="G159" t="s">
        <v>25</v>
      </c>
      <c r="H159" t="s">
        <v>35</v>
      </c>
      <c r="I159" t="s">
        <v>26</v>
      </c>
      <c r="J159" t="s">
        <v>26</v>
      </c>
      <c r="K159" t="s">
        <v>25</v>
      </c>
      <c r="L159" t="s">
        <v>25</v>
      </c>
      <c r="M159" t="s">
        <v>26</v>
      </c>
      <c r="N159" t="s">
        <v>25</v>
      </c>
      <c r="O159" t="s">
        <v>41</v>
      </c>
      <c r="P159" t="s">
        <v>26</v>
      </c>
      <c r="Q159">
        <v>70</v>
      </c>
      <c r="R159" t="s">
        <v>39</v>
      </c>
      <c r="S159" s="2">
        <v>43.97</v>
      </c>
      <c r="T159" s="3">
        <v>0</v>
      </c>
      <c r="U159" s="4">
        <v>44812</v>
      </c>
      <c r="V159" t="s">
        <v>26</v>
      </c>
      <c r="W159" t="s">
        <v>30</v>
      </c>
    </row>
    <row r="160" spans="1:23" x14ac:dyDescent="0.35">
      <c r="A160">
        <v>1159</v>
      </c>
      <c r="B160" t="s">
        <v>31</v>
      </c>
      <c r="C160" t="s">
        <v>25</v>
      </c>
      <c r="D160" t="s">
        <v>26</v>
      </c>
      <c r="E160" t="s">
        <v>25</v>
      </c>
      <c r="F160" t="s">
        <v>26</v>
      </c>
      <c r="G160" t="s">
        <v>26</v>
      </c>
      <c r="H160" t="s">
        <v>35</v>
      </c>
      <c r="I160" t="s">
        <v>26</v>
      </c>
      <c r="J160" t="s">
        <v>25</v>
      </c>
      <c r="K160" t="s">
        <v>25</v>
      </c>
      <c r="L160" t="s">
        <v>25</v>
      </c>
      <c r="M160" t="s">
        <v>26</v>
      </c>
      <c r="N160" t="s">
        <v>26</v>
      </c>
      <c r="O160" t="s">
        <v>42</v>
      </c>
      <c r="P160" t="s">
        <v>25</v>
      </c>
      <c r="Q160">
        <v>35</v>
      </c>
      <c r="R160" t="s">
        <v>39</v>
      </c>
      <c r="S160" s="2">
        <v>60.27</v>
      </c>
      <c r="T160" s="3">
        <v>116.07</v>
      </c>
      <c r="U160" s="4">
        <v>44447</v>
      </c>
      <c r="V160" t="s">
        <v>25</v>
      </c>
      <c r="W160" t="s">
        <v>30</v>
      </c>
    </row>
    <row r="161" spans="1:23" x14ac:dyDescent="0.35">
      <c r="A161">
        <v>1160</v>
      </c>
      <c r="B161" t="s">
        <v>34</v>
      </c>
      <c r="C161" t="s">
        <v>26</v>
      </c>
      <c r="D161" t="s">
        <v>26</v>
      </c>
      <c r="E161" t="s">
        <v>25</v>
      </c>
      <c r="F161" t="s">
        <v>26</v>
      </c>
      <c r="G161" t="s">
        <v>25</v>
      </c>
      <c r="H161" t="s">
        <v>35</v>
      </c>
      <c r="I161" t="s">
        <v>25</v>
      </c>
      <c r="J161" t="s">
        <v>25</v>
      </c>
      <c r="K161" t="s">
        <v>25</v>
      </c>
      <c r="L161" t="s">
        <v>25</v>
      </c>
      <c r="M161" t="s">
        <v>26</v>
      </c>
      <c r="N161" t="s">
        <v>26</v>
      </c>
      <c r="O161" t="s">
        <v>48</v>
      </c>
      <c r="P161" t="s">
        <v>25</v>
      </c>
      <c r="Q161">
        <v>16</v>
      </c>
      <c r="R161" t="s">
        <v>39</v>
      </c>
      <c r="S161" s="2">
        <v>98.11</v>
      </c>
      <c r="T161" s="3">
        <v>3267.39</v>
      </c>
      <c r="U161" s="4">
        <v>44117</v>
      </c>
      <c r="V161" t="s">
        <v>25</v>
      </c>
      <c r="W161" t="s">
        <v>30</v>
      </c>
    </row>
    <row r="162" spans="1:23" x14ac:dyDescent="0.35">
      <c r="A162">
        <v>1161</v>
      </c>
      <c r="B162" t="s">
        <v>31</v>
      </c>
      <c r="C162" t="s">
        <v>26</v>
      </c>
      <c r="D162" t="s">
        <v>25</v>
      </c>
      <c r="E162" t="s">
        <v>25</v>
      </c>
      <c r="F162" t="s">
        <v>26</v>
      </c>
      <c r="G162" t="s">
        <v>25</v>
      </c>
      <c r="H162" t="s">
        <v>35</v>
      </c>
      <c r="I162" t="s">
        <v>25</v>
      </c>
      <c r="J162" t="s">
        <v>25</v>
      </c>
      <c r="K162" t="s">
        <v>25</v>
      </c>
      <c r="L162" t="s">
        <v>26</v>
      </c>
      <c r="M162" t="s">
        <v>26</v>
      </c>
      <c r="N162" t="s">
        <v>25</v>
      </c>
      <c r="O162" t="s">
        <v>28</v>
      </c>
      <c r="P162" t="s">
        <v>26</v>
      </c>
      <c r="Q162">
        <v>33</v>
      </c>
      <c r="R162" t="s">
        <v>33</v>
      </c>
      <c r="S162" s="2">
        <f>T162/Q162</f>
        <v>230.2618181818182</v>
      </c>
      <c r="T162" s="3">
        <v>7598.64</v>
      </c>
      <c r="U162" s="4">
        <v>44766</v>
      </c>
      <c r="V162" t="s">
        <v>25</v>
      </c>
      <c r="W162" t="s">
        <v>30</v>
      </c>
    </row>
    <row r="163" spans="1:23" x14ac:dyDescent="0.35">
      <c r="A163">
        <v>1162</v>
      </c>
      <c r="B163" t="s">
        <v>31</v>
      </c>
      <c r="C163" t="s">
        <v>25</v>
      </c>
      <c r="D163" t="s">
        <v>25</v>
      </c>
      <c r="E163" t="s">
        <v>25</v>
      </c>
      <c r="F163" t="s">
        <v>25</v>
      </c>
      <c r="G163" t="s">
        <v>26</v>
      </c>
      <c r="H163" t="s">
        <v>27</v>
      </c>
      <c r="I163" t="s">
        <v>25</v>
      </c>
      <c r="J163" t="s">
        <v>26</v>
      </c>
      <c r="K163" t="s">
        <v>25</v>
      </c>
      <c r="L163" t="s">
        <v>26</v>
      </c>
      <c r="M163" t="s">
        <v>26</v>
      </c>
      <c r="N163" t="s">
        <v>26</v>
      </c>
      <c r="O163" t="s">
        <v>41</v>
      </c>
      <c r="P163" t="s">
        <v>25</v>
      </c>
      <c r="Q163">
        <v>67</v>
      </c>
      <c r="R163" t="s">
        <v>39</v>
      </c>
      <c r="S163" s="2">
        <v>55.74</v>
      </c>
      <c r="T163" s="3">
        <v>1632.74</v>
      </c>
      <c r="U163" s="4">
        <v>44141</v>
      </c>
      <c r="V163" t="s">
        <v>25</v>
      </c>
      <c r="W163" t="s">
        <v>30</v>
      </c>
    </row>
    <row r="164" spans="1:23" x14ac:dyDescent="0.35">
      <c r="A164">
        <v>1163</v>
      </c>
      <c r="B164" t="s">
        <v>34</v>
      </c>
      <c r="C164" t="s">
        <v>26</v>
      </c>
      <c r="D164" t="s">
        <v>25</v>
      </c>
      <c r="E164" t="s">
        <v>26</v>
      </c>
      <c r="F164" t="s">
        <v>26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26</v>
      </c>
      <c r="M164" t="s">
        <v>26</v>
      </c>
      <c r="N164" t="s">
        <v>26</v>
      </c>
      <c r="O164" t="s">
        <v>41</v>
      </c>
      <c r="P164" t="s">
        <v>26</v>
      </c>
      <c r="Q164">
        <v>14</v>
      </c>
      <c r="R164" t="s">
        <v>33</v>
      </c>
      <c r="S164" s="2">
        <v>104.11</v>
      </c>
      <c r="T164" s="3">
        <v>1371.65</v>
      </c>
      <c r="U164" s="4">
        <v>44491</v>
      </c>
      <c r="V164" t="s">
        <v>25</v>
      </c>
      <c r="W164" t="s">
        <v>30</v>
      </c>
    </row>
    <row r="165" spans="1:23" x14ac:dyDescent="0.35">
      <c r="A165">
        <v>1164</v>
      </c>
      <c r="B165" t="s">
        <v>34</v>
      </c>
      <c r="C165" t="s">
        <v>26</v>
      </c>
      <c r="D165" t="s">
        <v>26</v>
      </c>
      <c r="E165" t="s">
        <v>26</v>
      </c>
      <c r="F165" t="s">
        <v>26</v>
      </c>
      <c r="G165" t="s">
        <v>25</v>
      </c>
      <c r="H165" t="s">
        <v>27</v>
      </c>
      <c r="I165" t="s">
        <v>25</v>
      </c>
      <c r="J165" t="s">
        <v>26</v>
      </c>
      <c r="K165" t="s">
        <v>26</v>
      </c>
      <c r="L165" t="s">
        <v>25</v>
      </c>
      <c r="M165" t="s">
        <v>25</v>
      </c>
      <c r="N165" t="s">
        <v>26</v>
      </c>
      <c r="O165" t="s">
        <v>41</v>
      </c>
      <c r="P165" t="s">
        <v>26</v>
      </c>
      <c r="Q165">
        <v>68</v>
      </c>
      <c r="R165" t="s">
        <v>39</v>
      </c>
      <c r="S165" s="2">
        <v>118.9</v>
      </c>
      <c r="T165" s="3">
        <v>766.31</v>
      </c>
      <c r="U165" s="4">
        <v>43912</v>
      </c>
      <c r="V165" t="s">
        <v>25</v>
      </c>
      <c r="W165" t="s">
        <v>30</v>
      </c>
    </row>
    <row r="166" spans="1:23" x14ac:dyDescent="0.35">
      <c r="A166">
        <v>1165</v>
      </c>
      <c r="B166" t="s">
        <v>31</v>
      </c>
      <c r="C166" t="s">
        <v>25</v>
      </c>
      <c r="D166" t="s">
        <v>25</v>
      </c>
      <c r="E166" t="s">
        <v>25</v>
      </c>
      <c r="F166" t="s">
        <v>26</v>
      </c>
      <c r="G166" t="s">
        <v>25</v>
      </c>
      <c r="H166" t="s">
        <v>35</v>
      </c>
      <c r="I166" t="s">
        <v>25</v>
      </c>
      <c r="J166" t="s">
        <v>26</v>
      </c>
      <c r="K166" t="s">
        <v>26</v>
      </c>
      <c r="L166" t="s">
        <v>26</v>
      </c>
      <c r="M166" t="s">
        <v>26</v>
      </c>
      <c r="N166" t="s">
        <v>25</v>
      </c>
      <c r="O166" t="s">
        <v>28</v>
      </c>
      <c r="P166" t="s">
        <v>26</v>
      </c>
      <c r="Q166">
        <v>9</v>
      </c>
      <c r="R166" t="s">
        <v>33</v>
      </c>
      <c r="S166" s="2">
        <v>90.19</v>
      </c>
      <c r="T166" s="3">
        <v>7365.03</v>
      </c>
      <c r="U166" s="4">
        <v>43981</v>
      </c>
      <c r="V166" t="s">
        <v>25</v>
      </c>
      <c r="W166" t="s">
        <v>30</v>
      </c>
    </row>
    <row r="167" spans="1:23" x14ac:dyDescent="0.35">
      <c r="A167">
        <v>1166</v>
      </c>
      <c r="B167" t="s">
        <v>0</v>
      </c>
      <c r="C167" t="s">
        <v>25</v>
      </c>
      <c r="D167" t="s">
        <v>26</v>
      </c>
      <c r="E167" t="s">
        <v>26</v>
      </c>
      <c r="F167" t="s">
        <v>26</v>
      </c>
      <c r="G167" t="s">
        <v>26</v>
      </c>
      <c r="H167" t="s">
        <v>27</v>
      </c>
      <c r="I167" t="s">
        <v>26</v>
      </c>
      <c r="J167" t="s">
        <v>25</v>
      </c>
      <c r="K167" t="s">
        <v>25</v>
      </c>
      <c r="L167" t="s">
        <v>25</v>
      </c>
      <c r="M167" t="s">
        <v>25</v>
      </c>
      <c r="N167" t="s">
        <v>26</v>
      </c>
      <c r="O167" t="s">
        <v>41</v>
      </c>
      <c r="P167" t="s">
        <v>25</v>
      </c>
      <c r="Q167">
        <v>67</v>
      </c>
      <c r="R167" t="s">
        <v>39</v>
      </c>
      <c r="S167" s="2">
        <v>40</v>
      </c>
      <c r="T167" s="3">
        <v>6055.29</v>
      </c>
      <c r="U167" s="4">
        <v>45051</v>
      </c>
      <c r="V167" t="s">
        <v>25</v>
      </c>
      <c r="W167" t="s">
        <v>30</v>
      </c>
    </row>
    <row r="168" spans="1:23" x14ac:dyDescent="0.35">
      <c r="A168">
        <v>1167</v>
      </c>
      <c r="B168" t="s">
        <v>31</v>
      </c>
      <c r="C168" t="s">
        <v>25</v>
      </c>
      <c r="D168" t="s">
        <v>26</v>
      </c>
      <c r="E168" t="s">
        <v>26</v>
      </c>
      <c r="F168" t="s">
        <v>26</v>
      </c>
      <c r="G168" t="s">
        <v>26</v>
      </c>
      <c r="H168" t="s">
        <v>35</v>
      </c>
      <c r="I168" t="s">
        <v>25</v>
      </c>
      <c r="J168" t="s">
        <v>25</v>
      </c>
      <c r="K168" t="s">
        <v>26</v>
      </c>
      <c r="L168" t="s">
        <v>26</v>
      </c>
      <c r="M168" t="s">
        <v>26</v>
      </c>
      <c r="N168" t="s">
        <v>25</v>
      </c>
      <c r="O168" t="s">
        <v>41</v>
      </c>
      <c r="P168" t="s">
        <v>25</v>
      </c>
      <c r="Q168">
        <v>52</v>
      </c>
      <c r="R168" t="s">
        <v>39</v>
      </c>
      <c r="S168" s="2">
        <v>22.89</v>
      </c>
      <c r="T168" s="3">
        <v>2382.33</v>
      </c>
      <c r="U168" s="4">
        <v>44078</v>
      </c>
      <c r="V168" t="s">
        <v>25</v>
      </c>
      <c r="W168" t="s">
        <v>30</v>
      </c>
    </row>
    <row r="169" spans="1:23" x14ac:dyDescent="0.35">
      <c r="A169">
        <v>1168</v>
      </c>
      <c r="B169" t="s">
        <v>0</v>
      </c>
      <c r="C169" t="s">
        <v>25</v>
      </c>
      <c r="D169" t="s">
        <v>26</v>
      </c>
      <c r="E169" t="s">
        <v>26</v>
      </c>
      <c r="F169" t="s">
        <v>26</v>
      </c>
      <c r="G169" t="s">
        <v>25</v>
      </c>
      <c r="H169" t="s">
        <v>27</v>
      </c>
      <c r="I169" t="s">
        <v>25</v>
      </c>
      <c r="J169" t="s">
        <v>26</v>
      </c>
      <c r="K169" t="s">
        <v>25</v>
      </c>
      <c r="L169" t="s">
        <v>25</v>
      </c>
      <c r="M169" t="s">
        <v>26</v>
      </c>
      <c r="N169" t="s">
        <v>25</v>
      </c>
      <c r="O169" t="s">
        <v>41</v>
      </c>
      <c r="P169" t="s">
        <v>25</v>
      </c>
      <c r="Q169">
        <v>56</v>
      </c>
      <c r="R169" t="s">
        <v>39</v>
      </c>
      <c r="S169" s="2">
        <f>T169/Q169</f>
        <v>105.02178571428571</v>
      </c>
      <c r="T169" s="3">
        <v>5881.22</v>
      </c>
      <c r="U169" s="4">
        <v>44205</v>
      </c>
      <c r="V169" t="s">
        <v>25</v>
      </c>
      <c r="W169" t="s">
        <v>30</v>
      </c>
    </row>
    <row r="170" spans="1:23" x14ac:dyDescent="0.35">
      <c r="A170">
        <v>1169</v>
      </c>
      <c r="B170" t="s">
        <v>31</v>
      </c>
      <c r="C170" t="s">
        <v>25</v>
      </c>
      <c r="D170" t="s">
        <v>25</v>
      </c>
      <c r="E170" t="s">
        <v>26</v>
      </c>
      <c r="F170" t="s">
        <v>26</v>
      </c>
      <c r="G170" t="s">
        <v>25</v>
      </c>
      <c r="H170" t="s">
        <v>35</v>
      </c>
      <c r="I170" t="s">
        <v>25</v>
      </c>
      <c r="J170" t="s">
        <v>25</v>
      </c>
      <c r="K170" t="s">
        <v>26</v>
      </c>
      <c r="L170" t="s">
        <v>25</v>
      </c>
      <c r="M170" t="s">
        <v>26</v>
      </c>
      <c r="N170" t="s">
        <v>25</v>
      </c>
      <c r="O170" t="s">
        <v>41</v>
      </c>
      <c r="P170" t="s">
        <v>26</v>
      </c>
      <c r="Q170">
        <v>50</v>
      </c>
      <c r="R170" t="s">
        <v>49</v>
      </c>
      <c r="S170" s="2">
        <v>113.5</v>
      </c>
      <c r="T170" s="3">
        <v>2174.0300000000002</v>
      </c>
      <c r="U170" s="4">
        <v>45186</v>
      </c>
      <c r="V170" t="s">
        <v>25</v>
      </c>
      <c r="W170" t="s">
        <v>30</v>
      </c>
    </row>
    <row r="171" spans="1:23" x14ac:dyDescent="0.35">
      <c r="A171">
        <v>1170</v>
      </c>
      <c r="B171" t="s">
        <v>31</v>
      </c>
      <c r="C171" t="s">
        <v>25</v>
      </c>
      <c r="D171" t="s">
        <v>26</v>
      </c>
      <c r="E171" t="s">
        <v>25</v>
      </c>
      <c r="F171" t="s">
        <v>26</v>
      </c>
      <c r="G171" t="s">
        <v>26</v>
      </c>
      <c r="H171" t="s">
        <v>25</v>
      </c>
      <c r="I171" t="s">
        <v>26</v>
      </c>
      <c r="J171" t="s">
        <v>26</v>
      </c>
      <c r="K171" t="s">
        <v>26</v>
      </c>
      <c r="L171" t="s">
        <v>25</v>
      </c>
      <c r="M171" t="s">
        <v>25</v>
      </c>
      <c r="N171" t="s">
        <v>25</v>
      </c>
      <c r="O171" t="s">
        <v>41</v>
      </c>
      <c r="P171" t="s">
        <v>26</v>
      </c>
      <c r="Q171">
        <v>50</v>
      </c>
      <c r="R171" t="s">
        <v>29</v>
      </c>
      <c r="S171" s="2">
        <v>92.76</v>
      </c>
      <c r="T171" s="3">
        <v>4536.12</v>
      </c>
      <c r="U171" s="4">
        <v>43884</v>
      </c>
      <c r="V171" t="s">
        <v>25</v>
      </c>
      <c r="W171" t="s">
        <v>50</v>
      </c>
    </row>
    <row r="172" spans="1:23" x14ac:dyDescent="0.35">
      <c r="A172">
        <v>1171</v>
      </c>
      <c r="B172" t="s">
        <v>34</v>
      </c>
      <c r="C172" t="s">
        <v>25</v>
      </c>
      <c r="D172" t="s">
        <v>26</v>
      </c>
      <c r="E172" t="s">
        <v>25</v>
      </c>
      <c r="F172" t="s">
        <v>26</v>
      </c>
      <c r="G172" t="s">
        <v>25</v>
      </c>
      <c r="H172" t="s">
        <v>35</v>
      </c>
      <c r="I172" t="s">
        <v>26</v>
      </c>
      <c r="J172" t="s">
        <v>25</v>
      </c>
      <c r="K172" t="s">
        <v>25</v>
      </c>
      <c r="L172" t="s">
        <v>25</v>
      </c>
      <c r="M172" t="s">
        <v>26</v>
      </c>
      <c r="N172" t="s">
        <v>26</v>
      </c>
      <c r="O172" t="s">
        <v>42</v>
      </c>
      <c r="P172" t="s">
        <v>26</v>
      </c>
      <c r="Q172">
        <v>23</v>
      </c>
      <c r="R172" t="s">
        <v>39</v>
      </c>
      <c r="S172" s="2">
        <v>51.19</v>
      </c>
      <c r="T172" s="3">
        <v>2627.68</v>
      </c>
      <c r="U172" s="4">
        <v>45123</v>
      </c>
      <c r="V172" t="s">
        <v>25</v>
      </c>
      <c r="W172" t="s">
        <v>30</v>
      </c>
    </row>
    <row r="173" spans="1:23" x14ac:dyDescent="0.35">
      <c r="A173">
        <v>1172</v>
      </c>
      <c r="B173" t="s">
        <v>31</v>
      </c>
      <c r="C173" t="s">
        <v>26</v>
      </c>
      <c r="D173" t="s">
        <v>26</v>
      </c>
      <c r="E173" t="s">
        <v>26</v>
      </c>
      <c r="F173" t="s">
        <v>26</v>
      </c>
      <c r="G173" t="s">
        <v>25</v>
      </c>
      <c r="H173" t="s">
        <v>27</v>
      </c>
      <c r="I173" t="s">
        <v>25</v>
      </c>
      <c r="J173" t="s">
        <v>25</v>
      </c>
      <c r="K173" t="s">
        <v>25</v>
      </c>
      <c r="L173" t="s">
        <v>25</v>
      </c>
      <c r="M173" t="s">
        <v>26</v>
      </c>
      <c r="N173" t="s">
        <v>26</v>
      </c>
      <c r="O173" t="s">
        <v>41</v>
      </c>
      <c r="P173" t="s">
        <v>25</v>
      </c>
      <c r="Q173">
        <v>18</v>
      </c>
      <c r="R173" t="s">
        <v>39</v>
      </c>
      <c r="S173" s="2">
        <v>88.26</v>
      </c>
      <c r="T173" s="3">
        <v>5796.08</v>
      </c>
      <c r="U173" s="4">
        <v>44478</v>
      </c>
      <c r="V173" t="s">
        <v>25</v>
      </c>
      <c r="W173" t="s">
        <v>30</v>
      </c>
    </row>
    <row r="174" spans="1:23" x14ac:dyDescent="0.35">
      <c r="A174">
        <v>1173</v>
      </c>
      <c r="B174" t="s">
        <v>34</v>
      </c>
      <c r="C174" t="s">
        <v>26</v>
      </c>
      <c r="D174" t="s">
        <v>25</v>
      </c>
      <c r="E174" t="s">
        <v>25</v>
      </c>
      <c r="F174" t="s">
        <v>26</v>
      </c>
      <c r="G174" t="s">
        <v>25</v>
      </c>
      <c r="H174" t="s">
        <v>35</v>
      </c>
      <c r="I174" t="s">
        <v>25</v>
      </c>
      <c r="J174" t="s">
        <v>26</v>
      </c>
      <c r="K174" t="s">
        <v>26</v>
      </c>
      <c r="L174" t="s">
        <v>26</v>
      </c>
      <c r="M174" t="s">
        <v>25</v>
      </c>
      <c r="N174" t="s">
        <v>26</v>
      </c>
      <c r="O174" t="s">
        <v>41</v>
      </c>
      <c r="P174" t="s">
        <v>26</v>
      </c>
      <c r="Q174">
        <v>19</v>
      </c>
      <c r="R174" t="s">
        <v>49</v>
      </c>
      <c r="S174" s="2">
        <v>62.02</v>
      </c>
      <c r="T174" s="3">
        <v>4710.32</v>
      </c>
      <c r="U174" s="4">
        <v>44383</v>
      </c>
      <c r="V174" t="s">
        <v>25</v>
      </c>
      <c r="W174" t="s">
        <v>30</v>
      </c>
    </row>
    <row r="175" spans="1:23" x14ac:dyDescent="0.35">
      <c r="A175">
        <v>1174</v>
      </c>
      <c r="B175" t="s">
        <v>34</v>
      </c>
      <c r="C175" t="s">
        <v>25</v>
      </c>
      <c r="D175" t="s">
        <v>25</v>
      </c>
      <c r="E175" t="s">
        <v>25</v>
      </c>
      <c r="F175" t="s">
        <v>26</v>
      </c>
      <c r="G175" t="s">
        <v>25</v>
      </c>
      <c r="H175" t="s">
        <v>25</v>
      </c>
      <c r="I175" t="s">
        <v>26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41</v>
      </c>
      <c r="P175" t="s">
        <v>25</v>
      </c>
      <c r="Q175">
        <v>48</v>
      </c>
      <c r="R175" t="s">
        <v>39</v>
      </c>
      <c r="S175" s="2">
        <f>T175/Q175</f>
        <v>56.542499999999997</v>
      </c>
      <c r="T175" s="3">
        <v>2714.04</v>
      </c>
      <c r="U175" s="4">
        <v>44811</v>
      </c>
      <c r="V175" t="s">
        <v>25</v>
      </c>
      <c r="W175" t="s">
        <v>30</v>
      </c>
    </row>
    <row r="176" spans="1:23" x14ac:dyDescent="0.35">
      <c r="A176">
        <v>1175</v>
      </c>
      <c r="B176" t="s">
        <v>34</v>
      </c>
      <c r="C176" t="s">
        <v>25</v>
      </c>
      <c r="D176" t="s">
        <v>26</v>
      </c>
      <c r="E176" t="s">
        <v>25</v>
      </c>
      <c r="F176" t="s">
        <v>26</v>
      </c>
      <c r="G176" t="s">
        <v>26</v>
      </c>
      <c r="H176" t="s">
        <v>35</v>
      </c>
      <c r="I176" t="s">
        <v>25</v>
      </c>
      <c r="J176" t="s">
        <v>25</v>
      </c>
      <c r="K176" t="s">
        <v>25</v>
      </c>
      <c r="L176" t="s">
        <v>26</v>
      </c>
      <c r="M176" t="s">
        <v>25</v>
      </c>
      <c r="N176" t="s">
        <v>25</v>
      </c>
      <c r="O176" t="s">
        <v>41</v>
      </c>
      <c r="P176" t="s">
        <v>26</v>
      </c>
      <c r="Q176">
        <v>3</v>
      </c>
      <c r="R176" t="s">
        <v>29</v>
      </c>
      <c r="S176" s="2">
        <v>42.25</v>
      </c>
      <c r="T176" s="3">
        <v>2303.4</v>
      </c>
      <c r="U176" s="4">
        <v>45017</v>
      </c>
      <c r="V176" t="s">
        <v>25</v>
      </c>
      <c r="W176" t="s">
        <v>30</v>
      </c>
    </row>
    <row r="177" spans="1:23" x14ac:dyDescent="0.35">
      <c r="A177">
        <v>1176</v>
      </c>
      <c r="B177" t="s">
        <v>34</v>
      </c>
      <c r="C177" t="s">
        <v>26</v>
      </c>
      <c r="D177" t="s">
        <v>26</v>
      </c>
      <c r="E177" t="s">
        <v>25</v>
      </c>
      <c r="F177" t="s">
        <v>25</v>
      </c>
      <c r="G177" t="s">
        <v>26</v>
      </c>
      <c r="H177" t="s">
        <v>35</v>
      </c>
      <c r="I177" t="s">
        <v>25</v>
      </c>
      <c r="J177" t="s">
        <v>25</v>
      </c>
      <c r="K177" t="s">
        <v>26</v>
      </c>
      <c r="L177" t="s">
        <v>25</v>
      </c>
      <c r="M177" t="s">
        <v>25</v>
      </c>
      <c r="N177" t="s">
        <v>26</v>
      </c>
      <c r="O177" t="s">
        <v>41</v>
      </c>
      <c r="P177" t="s">
        <v>25</v>
      </c>
      <c r="Q177">
        <v>63</v>
      </c>
      <c r="R177" t="s">
        <v>39</v>
      </c>
      <c r="S177" s="2">
        <v>64.86</v>
      </c>
      <c r="T177" s="3">
        <v>4400.74</v>
      </c>
      <c r="U177" s="4">
        <v>44004</v>
      </c>
      <c r="V177" t="s">
        <v>25</v>
      </c>
      <c r="W177" t="s">
        <v>30</v>
      </c>
    </row>
    <row r="178" spans="1:23" x14ac:dyDescent="0.35">
      <c r="A178">
        <v>1177</v>
      </c>
      <c r="B178" t="s">
        <v>31</v>
      </c>
      <c r="C178" t="s">
        <v>25</v>
      </c>
      <c r="D178" t="s">
        <v>26</v>
      </c>
      <c r="E178" t="s">
        <v>25</v>
      </c>
      <c r="F178" t="s">
        <v>26</v>
      </c>
      <c r="G178" t="s">
        <v>25</v>
      </c>
      <c r="H178" t="s">
        <v>35</v>
      </c>
      <c r="I178" t="s">
        <v>25</v>
      </c>
      <c r="J178" t="s">
        <v>26</v>
      </c>
      <c r="K178" t="s">
        <v>26</v>
      </c>
      <c r="L178" t="s">
        <v>25</v>
      </c>
      <c r="M178" t="s">
        <v>25</v>
      </c>
      <c r="N178" t="s">
        <v>25</v>
      </c>
      <c r="O178" t="s">
        <v>48</v>
      </c>
      <c r="P178" t="s">
        <v>25</v>
      </c>
      <c r="Q178">
        <v>4</v>
      </c>
      <c r="R178" t="s">
        <v>39</v>
      </c>
      <c r="S178" s="2">
        <v>119.82</v>
      </c>
      <c r="T178" s="3">
        <v>3904.29</v>
      </c>
      <c r="U178" s="4">
        <v>44249</v>
      </c>
      <c r="V178" t="s">
        <v>25</v>
      </c>
      <c r="W178" t="s">
        <v>30</v>
      </c>
    </row>
    <row r="179" spans="1:23" x14ac:dyDescent="0.35">
      <c r="A179">
        <v>1178</v>
      </c>
      <c r="B179" t="s">
        <v>31</v>
      </c>
      <c r="C179" t="s">
        <v>25</v>
      </c>
      <c r="D179" t="s">
        <v>25</v>
      </c>
      <c r="E179" t="s">
        <v>25</v>
      </c>
      <c r="F179" t="s">
        <v>26</v>
      </c>
      <c r="G179" t="s">
        <v>25</v>
      </c>
      <c r="H179" t="s">
        <v>35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25</v>
      </c>
      <c r="O179" t="s">
        <v>41</v>
      </c>
      <c r="P179" t="s">
        <v>25</v>
      </c>
      <c r="Q179">
        <v>30</v>
      </c>
      <c r="R179" t="s">
        <v>39</v>
      </c>
      <c r="S179" s="2">
        <v>41.22</v>
      </c>
      <c r="T179" s="3">
        <v>6434.53</v>
      </c>
      <c r="U179" s="4">
        <v>43850</v>
      </c>
      <c r="V179" t="s">
        <v>25</v>
      </c>
      <c r="W179" t="s">
        <v>30</v>
      </c>
    </row>
    <row r="180" spans="1:23" x14ac:dyDescent="0.35">
      <c r="A180">
        <v>1179</v>
      </c>
      <c r="B180" t="s">
        <v>34</v>
      </c>
      <c r="C180" t="s">
        <v>25</v>
      </c>
      <c r="D180" t="s">
        <v>26</v>
      </c>
      <c r="E180" t="s">
        <v>25</v>
      </c>
      <c r="F180" t="s">
        <v>26</v>
      </c>
      <c r="G180" t="s">
        <v>26</v>
      </c>
      <c r="H180" t="s">
        <v>25</v>
      </c>
      <c r="I180" t="s">
        <v>26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28</v>
      </c>
      <c r="P180" t="s">
        <v>25</v>
      </c>
      <c r="Q180">
        <v>51</v>
      </c>
      <c r="R180" t="s">
        <v>29</v>
      </c>
      <c r="S180" s="2">
        <v>26.99</v>
      </c>
      <c r="T180" s="3">
        <v>2545.1999999999998</v>
      </c>
      <c r="U180" s="4">
        <v>45325</v>
      </c>
      <c r="V180" t="s">
        <v>25</v>
      </c>
      <c r="W180" t="s">
        <v>30</v>
      </c>
    </row>
    <row r="181" spans="1:23" x14ac:dyDescent="0.35">
      <c r="A181">
        <v>1180</v>
      </c>
      <c r="B181" t="s">
        <v>31</v>
      </c>
      <c r="C181" t="s">
        <v>25</v>
      </c>
      <c r="D181" t="s">
        <v>25</v>
      </c>
      <c r="E181" t="s">
        <v>25</v>
      </c>
      <c r="F181" t="s">
        <v>26</v>
      </c>
      <c r="G181" t="s">
        <v>26</v>
      </c>
      <c r="H181" t="s">
        <v>25</v>
      </c>
      <c r="I181" t="s">
        <v>25</v>
      </c>
      <c r="J181" t="s">
        <v>25</v>
      </c>
      <c r="K181" t="s">
        <v>26</v>
      </c>
      <c r="L181" t="s">
        <v>25</v>
      </c>
      <c r="M181" t="s">
        <v>26</v>
      </c>
      <c r="N181" t="s">
        <v>25</v>
      </c>
      <c r="O181" t="s">
        <v>28</v>
      </c>
      <c r="P181" t="s">
        <v>26</v>
      </c>
      <c r="Q181">
        <v>3</v>
      </c>
      <c r="R181" t="s">
        <v>29</v>
      </c>
      <c r="S181" s="2">
        <v>117.17</v>
      </c>
      <c r="T181" s="3">
        <v>404.39</v>
      </c>
      <c r="U181" s="4">
        <v>44048</v>
      </c>
      <c r="V181" t="s">
        <v>25</v>
      </c>
      <c r="W181" t="s">
        <v>30</v>
      </c>
    </row>
    <row r="182" spans="1:23" x14ac:dyDescent="0.35">
      <c r="A182">
        <v>1181</v>
      </c>
      <c r="B182" t="s">
        <v>31</v>
      </c>
      <c r="C182" t="s">
        <v>25</v>
      </c>
      <c r="D182" t="s">
        <v>25</v>
      </c>
      <c r="E182" t="s">
        <v>26</v>
      </c>
      <c r="F182" t="s">
        <v>26</v>
      </c>
      <c r="G182" t="s">
        <v>25</v>
      </c>
      <c r="H182" t="s">
        <v>25</v>
      </c>
      <c r="I182" t="s">
        <v>25</v>
      </c>
      <c r="J182" t="s">
        <v>26</v>
      </c>
      <c r="K182" t="s">
        <v>25</v>
      </c>
      <c r="L182" t="s">
        <v>25</v>
      </c>
      <c r="M182" t="s">
        <v>26</v>
      </c>
      <c r="N182" t="s">
        <v>26</v>
      </c>
      <c r="O182" t="s">
        <v>45</v>
      </c>
      <c r="P182" t="s">
        <v>25</v>
      </c>
      <c r="Q182">
        <v>44</v>
      </c>
      <c r="R182" t="s">
        <v>39</v>
      </c>
      <c r="S182" s="2">
        <v>72.19</v>
      </c>
      <c r="T182" s="3">
        <v>1391.86</v>
      </c>
      <c r="U182" s="4">
        <v>43905</v>
      </c>
      <c r="V182" t="s">
        <v>25</v>
      </c>
      <c r="W182" t="s">
        <v>30</v>
      </c>
    </row>
    <row r="183" spans="1:23" x14ac:dyDescent="0.35">
      <c r="A183">
        <v>1182</v>
      </c>
      <c r="B183" t="s">
        <v>0</v>
      </c>
      <c r="C183" t="s">
        <v>25</v>
      </c>
      <c r="D183" t="s">
        <v>25</v>
      </c>
      <c r="E183" t="s">
        <v>25</v>
      </c>
      <c r="F183" t="s">
        <v>25</v>
      </c>
      <c r="G183" t="s">
        <v>26</v>
      </c>
      <c r="H183" t="s">
        <v>27</v>
      </c>
      <c r="I183" t="s">
        <v>25</v>
      </c>
      <c r="J183" t="s">
        <v>26</v>
      </c>
      <c r="K183" t="s">
        <v>26</v>
      </c>
      <c r="L183" t="s">
        <v>25</v>
      </c>
      <c r="M183" t="s">
        <v>25</v>
      </c>
      <c r="N183" t="s">
        <v>25</v>
      </c>
      <c r="O183" t="s">
        <v>41</v>
      </c>
      <c r="P183" t="s">
        <v>25</v>
      </c>
      <c r="Q183">
        <v>25</v>
      </c>
      <c r="R183" t="s">
        <v>39</v>
      </c>
      <c r="S183" s="2">
        <v>109.62</v>
      </c>
      <c r="T183" s="3">
        <v>7477.59</v>
      </c>
      <c r="U183" s="4">
        <v>44203</v>
      </c>
      <c r="V183" t="s">
        <v>25</v>
      </c>
      <c r="W183" t="s">
        <v>30</v>
      </c>
    </row>
    <row r="184" spans="1:23" x14ac:dyDescent="0.35">
      <c r="A184">
        <v>1183</v>
      </c>
      <c r="B184" t="s">
        <v>31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25</v>
      </c>
      <c r="I184" t="s">
        <v>26</v>
      </c>
      <c r="J184" t="s">
        <v>25</v>
      </c>
      <c r="K184" t="s">
        <v>26</v>
      </c>
      <c r="L184" t="s">
        <v>25</v>
      </c>
      <c r="M184" t="s">
        <v>26</v>
      </c>
      <c r="N184" t="s">
        <v>25</v>
      </c>
      <c r="O184" t="s">
        <v>41</v>
      </c>
      <c r="P184" t="s">
        <v>26</v>
      </c>
      <c r="Q184">
        <v>62</v>
      </c>
      <c r="R184" t="s">
        <v>39</v>
      </c>
      <c r="S184" s="2">
        <v>53.77</v>
      </c>
      <c r="T184" s="3">
        <v>5832.9</v>
      </c>
      <c r="U184" s="4">
        <v>45274</v>
      </c>
      <c r="V184" t="s">
        <v>25</v>
      </c>
      <c r="W184" t="s">
        <v>30</v>
      </c>
    </row>
    <row r="185" spans="1:23" x14ac:dyDescent="0.35">
      <c r="A185">
        <v>1184</v>
      </c>
      <c r="B185" t="s">
        <v>31</v>
      </c>
      <c r="C185" t="s">
        <v>26</v>
      </c>
      <c r="D185" t="s">
        <v>25</v>
      </c>
      <c r="E185" t="s">
        <v>25</v>
      </c>
      <c r="F185" t="s">
        <v>26</v>
      </c>
      <c r="G185" t="s">
        <v>25</v>
      </c>
      <c r="H185" t="s">
        <v>35</v>
      </c>
      <c r="I185" t="s">
        <v>25</v>
      </c>
      <c r="J185" t="s">
        <v>26</v>
      </c>
      <c r="K185" t="s">
        <v>26</v>
      </c>
      <c r="L185" t="s">
        <v>25</v>
      </c>
      <c r="M185" t="s">
        <v>26</v>
      </c>
      <c r="N185" t="s">
        <v>25</v>
      </c>
      <c r="O185" t="s">
        <v>41</v>
      </c>
      <c r="P185" t="s">
        <v>26</v>
      </c>
      <c r="Q185">
        <v>9</v>
      </c>
      <c r="R185" t="s">
        <v>49</v>
      </c>
      <c r="S185" s="2">
        <v>26.32</v>
      </c>
      <c r="T185" s="3">
        <v>1472.82</v>
      </c>
      <c r="U185" s="4">
        <v>44144</v>
      </c>
      <c r="V185" t="s">
        <v>26</v>
      </c>
      <c r="W185" t="s">
        <v>30</v>
      </c>
    </row>
    <row r="186" spans="1:23" x14ac:dyDescent="0.35">
      <c r="A186">
        <v>1185</v>
      </c>
      <c r="B186" t="s">
        <v>34</v>
      </c>
      <c r="C186" t="s">
        <v>25</v>
      </c>
      <c r="D186" t="s">
        <v>25</v>
      </c>
      <c r="E186" t="s">
        <v>25</v>
      </c>
      <c r="F186" t="s">
        <v>26</v>
      </c>
      <c r="G186" t="s">
        <v>26</v>
      </c>
      <c r="H186" t="s">
        <v>27</v>
      </c>
      <c r="I186" t="s">
        <v>25</v>
      </c>
      <c r="J186" t="s">
        <v>26</v>
      </c>
      <c r="K186" t="s">
        <v>25</v>
      </c>
      <c r="L186" t="s">
        <v>25</v>
      </c>
      <c r="M186" t="s">
        <v>25</v>
      </c>
      <c r="N186" t="s">
        <v>26</v>
      </c>
      <c r="O186" t="s">
        <v>41</v>
      </c>
      <c r="P186" t="s">
        <v>25</v>
      </c>
      <c r="Q186">
        <v>39</v>
      </c>
      <c r="R186" t="s">
        <v>49</v>
      </c>
      <c r="S186" s="2">
        <v>47.12</v>
      </c>
      <c r="T186" s="3">
        <v>3979.61</v>
      </c>
      <c r="U186" s="4">
        <v>43863</v>
      </c>
      <c r="V186" t="s">
        <v>26</v>
      </c>
      <c r="W186" t="s">
        <v>30</v>
      </c>
    </row>
    <row r="187" spans="1:23" x14ac:dyDescent="0.35">
      <c r="A187">
        <v>1186</v>
      </c>
      <c r="B187" t="s">
        <v>31</v>
      </c>
      <c r="C187" t="s">
        <v>25</v>
      </c>
      <c r="D187" t="s">
        <v>25</v>
      </c>
      <c r="E187" t="s">
        <v>25</v>
      </c>
      <c r="F187" t="s">
        <v>26</v>
      </c>
      <c r="G187" t="s">
        <v>25</v>
      </c>
      <c r="H187" t="s">
        <v>25</v>
      </c>
      <c r="I187" t="s">
        <v>25</v>
      </c>
      <c r="J187" t="s">
        <v>26</v>
      </c>
      <c r="K187" t="s">
        <v>25</v>
      </c>
      <c r="L187" t="s">
        <v>25</v>
      </c>
      <c r="M187" t="s">
        <v>25</v>
      </c>
      <c r="N187" t="s">
        <v>26</v>
      </c>
      <c r="O187" t="s">
        <v>41</v>
      </c>
      <c r="P187" t="s">
        <v>25</v>
      </c>
      <c r="Q187">
        <v>70</v>
      </c>
      <c r="R187" t="s">
        <v>39</v>
      </c>
      <c r="S187" s="2">
        <v>42</v>
      </c>
      <c r="T187" s="3">
        <v>4389.83</v>
      </c>
      <c r="U187" s="4">
        <v>44834</v>
      </c>
      <c r="V187" t="s">
        <v>26</v>
      </c>
      <c r="W187" t="s">
        <v>30</v>
      </c>
    </row>
    <row r="188" spans="1:23" x14ac:dyDescent="0.35">
      <c r="A188">
        <v>1187</v>
      </c>
      <c r="B188" t="s">
        <v>31</v>
      </c>
      <c r="C188" t="s">
        <v>25</v>
      </c>
      <c r="D188" t="s">
        <v>25</v>
      </c>
      <c r="E188" t="s">
        <v>25</v>
      </c>
      <c r="F188" t="s">
        <v>26</v>
      </c>
      <c r="G188" t="s">
        <v>26</v>
      </c>
      <c r="H188" t="s">
        <v>27</v>
      </c>
      <c r="I188" t="s">
        <v>25</v>
      </c>
      <c r="J188" t="s">
        <v>26</v>
      </c>
      <c r="K188" t="s">
        <v>25</v>
      </c>
      <c r="L188" t="s">
        <v>26</v>
      </c>
      <c r="M188" t="s">
        <v>26</v>
      </c>
      <c r="N188" t="s">
        <v>25</v>
      </c>
      <c r="O188" t="s">
        <v>28</v>
      </c>
      <c r="P188" t="s">
        <v>25</v>
      </c>
      <c r="Q188">
        <v>0</v>
      </c>
      <c r="R188" t="s">
        <v>29</v>
      </c>
      <c r="S188" s="2">
        <v>77.52</v>
      </c>
      <c r="T188" s="3">
        <v>5211.47</v>
      </c>
      <c r="U188" s="4">
        <v>45203</v>
      </c>
      <c r="V188" t="s">
        <v>26</v>
      </c>
      <c r="W188" t="s">
        <v>30</v>
      </c>
    </row>
    <row r="189" spans="1:23" x14ac:dyDescent="0.35">
      <c r="A189">
        <v>1188</v>
      </c>
      <c r="B189" t="s">
        <v>31</v>
      </c>
      <c r="C189" t="s">
        <v>25</v>
      </c>
      <c r="D189" t="s">
        <v>25</v>
      </c>
      <c r="E189" t="s">
        <v>26</v>
      </c>
      <c r="F189" t="s">
        <v>26</v>
      </c>
      <c r="G189" t="s">
        <v>26</v>
      </c>
      <c r="H189" t="s">
        <v>35</v>
      </c>
      <c r="I189" t="s">
        <v>25</v>
      </c>
      <c r="J189" t="s">
        <v>25</v>
      </c>
      <c r="K189" t="s">
        <v>26</v>
      </c>
      <c r="L189" t="s">
        <v>25</v>
      </c>
      <c r="M189" t="s">
        <v>25</v>
      </c>
      <c r="N189" t="s">
        <v>25</v>
      </c>
      <c r="O189" t="s">
        <v>41</v>
      </c>
      <c r="P189" t="s">
        <v>26</v>
      </c>
      <c r="Q189">
        <v>67</v>
      </c>
      <c r="R189" t="s">
        <v>49</v>
      </c>
      <c r="S189" s="2">
        <v>57.45</v>
      </c>
      <c r="T189" s="3">
        <v>7251.26</v>
      </c>
      <c r="U189" s="4">
        <v>44361</v>
      </c>
      <c r="V189" t="s">
        <v>26</v>
      </c>
      <c r="W189" t="s">
        <v>30</v>
      </c>
    </row>
    <row r="190" spans="1:23" x14ac:dyDescent="0.35">
      <c r="A190">
        <v>1189</v>
      </c>
      <c r="B190" t="s">
        <v>34</v>
      </c>
      <c r="C190" t="s">
        <v>26</v>
      </c>
      <c r="D190" t="s">
        <v>25</v>
      </c>
      <c r="E190" t="s">
        <v>26</v>
      </c>
      <c r="F190" t="s">
        <v>26</v>
      </c>
      <c r="G190" t="s">
        <v>25</v>
      </c>
      <c r="H190" t="s">
        <v>27</v>
      </c>
      <c r="I190" t="s">
        <v>26</v>
      </c>
      <c r="J190" t="s">
        <v>25</v>
      </c>
      <c r="K190" t="s">
        <v>25</v>
      </c>
      <c r="L190" t="s">
        <v>26</v>
      </c>
      <c r="M190" t="s">
        <v>26</v>
      </c>
      <c r="N190" t="s">
        <v>25</v>
      </c>
      <c r="O190" t="s">
        <v>42</v>
      </c>
      <c r="P190" t="s">
        <v>26</v>
      </c>
      <c r="Q190">
        <v>71</v>
      </c>
      <c r="R190" t="s">
        <v>39</v>
      </c>
      <c r="S190" s="2">
        <v>29.52</v>
      </c>
      <c r="T190" s="3">
        <v>1876</v>
      </c>
      <c r="U190" s="4">
        <v>45425</v>
      </c>
      <c r="V190" t="s">
        <v>26</v>
      </c>
      <c r="W190" t="s">
        <v>30</v>
      </c>
    </row>
    <row r="191" spans="1:23" x14ac:dyDescent="0.35">
      <c r="A191">
        <v>1190</v>
      </c>
      <c r="B191" t="s">
        <v>31</v>
      </c>
      <c r="C191" t="s">
        <v>25</v>
      </c>
      <c r="D191" t="s">
        <v>25</v>
      </c>
      <c r="E191" t="s">
        <v>25</v>
      </c>
      <c r="F191" t="s">
        <v>26</v>
      </c>
      <c r="G191" t="s">
        <v>25</v>
      </c>
      <c r="H191" t="s">
        <v>35</v>
      </c>
      <c r="I191" t="s">
        <v>26</v>
      </c>
      <c r="J191" t="s">
        <v>25</v>
      </c>
      <c r="K191" t="s">
        <v>26</v>
      </c>
      <c r="L191" t="s">
        <v>25</v>
      </c>
      <c r="M191" t="s">
        <v>26</v>
      </c>
      <c r="N191" t="s">
        <v>26</v>
      </c>
      <c r="O191" t="s">
        <v>45</v>
      </c>
      <c r="P191" t="s">
        <v>26</v>
      </c>
      <c r="Q191">
        <v>4</v>
      </c>
      <c r="R191" t="s">
        <v>39</v>
      </c>
      <c r="S191" s="2">
        <v>110.73</v>
      </c>
      <c r="T191" s="3">
        <v>4635.54</v>
      </c>
      <c r="U191" s="4">
        <v>45549</v>
      </c>
      <c r="V191" t="s">
        <v>26</v>
      </c>
      <c r="W191" t="s">
        <v>30</v>
      </c>
    </row>
    <row r="192" spans="1:23" x14ac:dyDescent="0.35">
      <c r="A192">
        <v>1191</v>
      </c>
      <c r="B192" t="s">
        <v>31</v>
      </c>
      <c r="C192" t="s">
        <v>26</v>
      </c>
      <c r="D192" t="s">
        <v>26</v>
      </c>
      <c r="E192" t="s">
        <v>25</v>
      </c>
      <c r="F192" t="s">
        <v>26</v>
      </c>
      <c r="G192" t="s">
        <v>26</v>
      </c>
      <c r="H192" t="s">
        <v>35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41</v>
      </c>
      <c r="P192" t="s">
        <v>26</v>
      </c>
      <c r="Q192">
        <v>48</v>
      </c>
      <c r="R192" t="s">
        <v>49</v>
      </c>
      <c r="S192" s="2">
        <v>109.39</v>
      </c>
      <c r="T192" s="3">
        <v>5470.2</v>
      </c>
      <c r="U192" s="4">
        <v>44045</v>
      </c>
      <c r="V192" t="s">
        <v>26</v>
      </c>
      <c r="W192" t="s">
        <v>30</v>
      </c>
    </row>
    <row r="193" spans="1:23" x14ac:dyDescent="0.35">
      <c r="A193">
        <v>1192</v>
      </c>
      <c r="B193" t="s">
        <v>31</v>
      </c>
      <c r="C193" t="s">
        <v>25</v>
      </c>
      <c r="D193" t="s">
        <v>25</v>
      </c>
      <c r="E193" t="s">
        <v>25</v>
      </c>
      <c r="F193" t="s">
        <v>26</v>
      </c>
      <c r="G193" t="s">
        <v>26</v>
      </c>
      <c r="H193" t="s">
        <v>27</v>
      </c>
      <c r="I193" t="s">
        <v>25</v>
      </c>
      <c r="J193" t="s">
        <v>25</v>
      </c>
      <c r="K193" t="s">
        <v>26</v>
      </c>
      <c r="L193" t="s">
        <v>26</v>
      </c>
      <c r="M193" t="s">
        <v>25</v>
      </c>
      <c r="N193" t="s">
        <v>25</v>
      </c>
      <c r="O193" t="s">
        <v>41</v>
      </c>
      <c r="P193" t="s">
        <v>26</v>
      </c>
      <c r="Q193">
        <v>10</v>
      </c>
      <c r="R193" t="s">
        <v>39</v>
      </c>
      <c r="S193" s="2">
        <f>T193/Q193</f>
        <v>149.06</v>
      </c>
      <c r="T193" s="3">
        <v>1490.6</v>
      </c>
      <c r="U193" s="4">
        <v>44358</v>
      </c>
      <c r="V193" t="s">
        <v>26</v>
      </c>
      <c r="W193" t="s">
        <v>30</v>
      </c>
    </row>
    <row r="194" spans="1:23" x14ac:dyDescent="0.35">
      <c r="A194">
        <v>1193</v>
      </c>
      <c r="B194" t="s">
        <v>31</v>
      </c>
      <c r="C194" t="s">
        <v>26</v>
      </c>
      <c r="D194" t="s">
        <v>26</v>
      </c>
      <c r="E194" t="s">
        <v>26</v>
      </c>
      <c r="F194" t="s">
        <v>26</v>
      </c>
      <c r="G194" t="s">
        <v>25</v>
      </c>
      <c r="H194" t="s">
        <v>27</v>
      </c>
      <c r="I194" t="s">
        <v>26</v>
      </c>
      <c r="J194" t="s">
        <v>26</v>
      </c>
      <c r="K194" t="s">
        <v>26</v>
      </c>
      <c r="L194" t="s">
        <v>25</v>
      </c>
      <c r="M194" t="s">
        <v>25</v>
      </c>
      <c r="N194" t="s">
        <v>25</v>
      </c>
      <c r="O194" t="s">
        <v>41</v>
      </c>
      <c r="P194" t="s">
        <v>26</v>
      </c>
      <c r="Q194">
        <v>4</v>
      </c>
      <c r="R194" t="s">
        <v>29</v>
      </c>
      <c r="S194" s="2">
        <v>40.64</v>
      </c>
      <c r="T194" s="3">
        <v>4372.59</v>
      </c>
      <c r="U194" s="4">
        <v>45477</v>
      </c>
      <c r="V194" t="s">
        <v>26</v>
      </c>
      <c r="W194" t="s">
        <v>30</v>
      </c>
    </row>
    <row r="195" spans="1:23" x14ac:dyDescent="0.35">
      <c r="A195">
        <v>1194</v>
      </c>
      <c r="B195" t="s">
        <v>0</v>
      </c>
      <c r="C195" t="s">
        <v>25</v>
      </c>
      <c r="D195" t="s">
        <v>25</v>
      </c>
      <c r="E195" t="s">
        <v>25</v>
      </c>
      <c r="F195" t="s">
        <v>26</v>
      </c>
      <c r="G195" t="s">
        <v>25</v>
      </c>
      <c r="H195" t="s">
        <v>25</v>
      </c>
      <c r="I195" t="s">
        <v>26</v>
      </c>
      <c r="J195" t="s">
        <v>26</v>
      </c>
      <c r="K195" t="s">
        <v>25</v>
      </c>
      <c r="L195" t="s">
        <v>25</v>
      </c>
      <c r="M195" t="s">
        <v>25</v>
      </c>
      <c r="N195" t="s">
        <v>25</v>
      </c>
      <c r="O195" t="s">
        <v>28</v>
      </c>
      <c r="P195" t="s">
        <v>26</v>
      </c>
      <c r="Q195">
        <v>40</v>
      </c>
      <c r="R195" t="s">
        <v>49</v>
      </c>
      <c r="S195" s="2">
        <v>104.11</v>
      </c>
      <c r="T195" s="3">
        <v>6575.51</v>
      </c>
      <c r="U195" s="4">
        <v>44175</v>
      </c>
      <c r="V195" t="s">
        <v>26</v>
      </c>
      <c r="W195" t="s">
        <v>30</v>
      </c>
    </row>
    <row r="196" spans="1:23" x14ac:dyDescent="0.35">
      <c r="A196">
        <v>1195</v>
      </c>
      <c r="B196" t="s">
        <v>31</v>
      </c>
      <c r="C196" t="s">
        <v>25</v>
      </c>
      <c r="D196" t="s">
        <v>25</v>
      </c>
      <c r="E196" t="s">
        <v>25</v>
      </c>
      <c r="F196" t="s">
        <v>26</v>
      </c>
      <c r="G196" t="s">
        <v>25</v>
      </c>
      <c r="H196" t="s">
        <v>35</v>
      </c>
      <c r="I196" t="s">
        <v>25</v>
      </c>
      <c r="J196" t="s">
        <v>26</v>
      </c>
      <c r="K196" t="s">
        <v>26</v>
      </c>
      <c r="L196" t="s">
        <v>25</v>
      </c>
      <c r="M196" t="s">
        <v>25</v>
      </c>
      <c r="N196" t="s">
        <v>26</v>
      </c>
      <c r="O196" t="s">
        <v>41</v>
      </c>
      <c r="P196" t="s">
        <v>25</v>
      </c>
      <c r="Q196">
        <v>71</v>
      </c>
      <c r="R196" t="s">
        <v>39</v>
      </c>
      <c r="S196" s="2">
        <v>79.17</v>
      </c>
      <c r="T196" s="3">
        <v>2562.71</v>
      </c>
      <c r="U196" s="4">
        <v>45331</v>
      </c>
      <c r="V196" t="s">
        <v>26</v>
      </c>
      <c r="W196" t="s">
        <v>30</v>
      </c>
    </row>
    <row r="197" spans="1:23" x14ac:dyDescent="0.35">
      <c r="A197">
        <v>1196</v>
      </c>
      <c r="B197" t="s">
        <v>31</v>
      </c>
      <c r="C197" t="s">
        <v>25</v>
      </c>
      <c r="D197" t="s">
        <v>26</v>
      </c>
      <c r="E197" t="s">
        <v>26</v>
      </c>
      <c r="F197" t="s">
        <v>25</v>
      </c>
      <c r="G197" t="s">
        <v>26</v>
      </c>
      <c r="H197" t="s">
        <v>25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26</v>
      </c>
      <c r="O197" t="s">
        <v>41</v>
      </c>
      <c r="P197" t="s">
        <v>26</v>
      </c>
      <c r="Q197">
        <v>30</v>
      </c>
      <c r="R197" t="s">
        <v>33</v>
      </c>
      <c r="S197" s="2">
        <v>76.19</v>
      </c>
      <c r="T197" s="3">
        <v>4927.87</v>
      </c>
      <c r="U197" s="4">
        <v>45187</v>
      </c>
      <c r="V197" t="s">
        <v>26</v>
      </c>
      <c r="W197" t="s">
        <v>30</v>
      </c>
    </row>
    <row r="198" spans="1:23" x14ac:dyDescent="0.35">
      <c r="A198">
        <v>1197</v>
      </c>
      <c r="B198" t="s">
        <v>31</v>
      </c>
      <c r="C198" t="s">
        <v>25</v>
      </c>
      <c r="D198" t="s">
        <v>26</v>
      </c>
      <c r="E198" t="s">
        <v>26</v>
      </c>
      <c r="F198" t="s">
        <v>26</v>
      </c>
      <c r="G198" t="s">
        <v>25</v>
      </c>
      <c r="H198" t="s">
        <v>25</v>
      </c>
      <c r="I198" t="s">
        <v>25</v>
      </c>
      <c r="J198" t="s">
        <v>26</v>
      </c>
      <c r="K198" t="s">
        <v>25</v>
      </c>
      <c r="L198" t="s">
        <v>25</v>
      </c>
      <c r="M198" t="s">
        <v>25</v>
      </c>
      <c r="N198" t="s">
        <v>25</v>
      </c>
      <c r="O198" t="s">
        <v>28</v>
      </c>
      <c r="P198" t="s">
        <v>26</v>
      </c>
      <c r="Q198">
        <v>41</v>
      </c>
      <c r="R198" t="s">
        <v>39</v>
      </c>
      <c r="S198" s="2">
        <v>66.430000000000007</v>
      </c>
      <c r="T198" s="3">
        <v>7615.74</v>
      </c>
      <c r="U198" s="4">
        <v>45561</v>
      </c>
      <c r="V198" t="s">
        <v>26</v>
      </c>
      <c r="W198" t="s">
        <v>30</v>
      </c>
    </row>
    <row r="199" spans="1:23" x14ac:dyDescent="0.35">
      <c r="A199">
        <v>1198</v>
      </c>
      <c r="B199" t="s">
        <v>34</v>
      </c>
      <c r="C199" t="s">
        <v>25</v>
      </c>
      <c r="D199" t="s">
        <v>26</v>
      </c>
      <c r="E199" t="s">
        <v>25</v>
      </c>
      <c r="F199" t="s">
        <v>26</v>
      </c>
      <c r="G199" t="s">
        <v>26</v>
      </c>
      <c r="H199" t="s">
        <v>27</v>
      </c>
      <c r="I199" t="s">
        <v>25</v>
      </c>
      <c r="J199" t="s">
        <v>25</v>
      </c>
      <c r="K199" t="s">
        <v>26</v>
      </c>
      <c r="L199" t="s">
        <v>25</v>
      </c>
      <c r="M199" t="s">
        <v>25</v>
      </c>
      <c r="N199" t="s">
        <v>25</v>
      </c>
      <c r="O199" t="s">
        <v>41</v>
      </c>
      <c r="P199" t="s">
        <v>26</v>
      </c>
      <c r="Q199">
        <v>8</v>
      </c>
      <c r="R199" t="s">
        <v>39</v>
      </c>
      <c r="S199" s="2">
        <v>24.07</v>
      </c>
      <c r="T199" s="3">
        <v>3286.98</v>
      </c>
      <c r="U199" s="4">
        <v>45107</v>
      </c>
      <c r="V199" t="s">
        <v>26</v>
      </c>
      <c r="W199" t="s">
        <v>30</v>
      </c>
    </row>
    <row r="200" spans="1:23" x14ac:dyDescent="0.35">
      <c r="A200">
        <v>1199</v>
      </c>
      <c r="B200" t="s">
        <v>34</v>
      </c>
      <c r="C200" t="s">
        <v>26</v>
      </c>
      <c r="D200" t="s">
        <v>25</v>
      </c>
      <c r="E200" t="s">
        <v>25</v>
      </c>
      <c r="F200" t="s">
        <v>25</v>
      </c>
      <c r="G200" t="s">
        <v>25</v>
      </c>
      <c r="H200" t="s">
        <v>35</v>
      </c>
      <c r="I200" t="s">
        <v>26</v>
      </c>
      <c r="J200" t="s">
        <v>25</v>
      </c>
      <c r="K200" t="s">
        <v>26</v>
      </c>
      <c r="L200" t="s">
        <v>25</v>
      </c>
      <c r="M200" t="s">
        <v>25</v>
      </c>
      <c r="N200" t="s">
        <v>25</v>
      </c>
      <c r="O200" t="s">
        <v>28</v>
      </c>
      <c r="P200" t="s">
        <v>26</v>
      </c>
      <c r="Q200">
        <v>29</v>
      </c>
      <c r="R200" t="s">
        <v>49</v>
      </c>
      <c r="S200" s="2">
        <v>58.36</v>
      </c>
      <c r="T200" s="3">
        <v>4393.1499999999996</v>
      </c>
      <c r="U200" s="4">
        <v>44766</v>
      </c>
      <c r="V200" t="s">
        <v>26</v>
      </c>
      <c r="W200" t="s">
        <v>30</v>
      </c>
    </row>
    <row r="201" spans="1:23" x14ac:dyDescent="0.35">
      <c r="A201">
        <v>1200</v>
      </c>
      <c r="B201" t="s">
        <v>34</v>
      </c>
      <c r="C201" t="s">
        <v>25</v>
      </c>
      <c r="D201" t="s">
        <v>25</v>
      </c>
      <c r="E201" t="s">
        <v>25</v>
      </c>
      <c r="F201" t="s">
        <v>26</v>
      </c>
      <c r="G201" t="s">
        <v>26</v>
      </c>
      <c r="H201" t="s">
        <v>27</v>
      </c>
      <c r="I201" t="s">
        <v>26</v>
      </c>
      <c r="J201" t="s">
        <v>26</v>
      </c>
      <c r="K201" t="s">
        <v>25</v>
      </c>
      <c r="L201" t="s">
        <v>26</v>
      </c>
      <c r="M201" t="s">
        <v>26</v>
      </c>
      <c r="N201" t="s">
        <v>26</v>
      </c>
      <c r="O201" t="s">
        <v>41</v>
      </c>
      <c r="P201" t="s">
        <v>26</v>
      </c>
      <c r="Q201">
        <v>54</v>
      </c>
      <c r="R201" t="s">
        <v>49</v>
      </c>
      <c r="S201" s="2">
        <v>30.59</v>
      </c>
      <c r="T201" s="3">
        <v>6794.25</v>
      </c>
      <c r="U201" s="4">
        <v>45031</v>
      </c>
      <c r="V201" t="s">
        <v>26</v>
      </c>
      <c r="W201" t="s">
        <v>50</v>
      </c>
    </row>
    <row r="202" spans="1:23" x14ac:dyDescent="0.35">
      <c r="A202">
        <v>1201</v>
      </c>
      <c r="B202" t="s">
        <v>31</v>
      </c>
      <c r="C202" t="s">
        <v>25</v>
      </c>
      <c r="D202" t="s">
        <v>26</v>
      </c>
      <c r="E202" t="s">
        <v>25</v>
      </c>
      <c r="F202" t="s">
        <v>26</v>
      </c>
      <c r="G202" t="s">
        <v>25</v>
      </c>
      <c r="H202" t="s">
        <v>35</v>
      </c>
      <c r="I202" t="s">
        <v>26</v>
      </c>
      <c r="J202" t="s">
        <v>26</v>
      </c>
      <c r="K202" t="s">
        <v>26</v>
      </c>
      <c r="L202" t="s">
        <v>25</v>
      </c>
      <c r="M202" t="s">
        <v>26</v>
      </c>
      <c r="N202" t="s">
        <v>26</v>
      </c>
      <c r="O202" t="s">
        <v>41</v>
      </c>
      <c r="P202" t="s">
        <v>26</v>
      </c>
      <c r="Q202">
        <v>55</v>
      </c>
      <c r="R202" t="s">
        <v>39</v>
      </c>
      <c r="S202" s="2">
        <v>68.430000000000007</v>
      </c>
      <c r="T202" s="3">
        <v>7950.19</v>
      </c>
      <c r="U202" s="4">
        <v>45450</v>
      </c>
      <c r="V202" t="s">
        <v>26</v>
      </c>
      <c r="W202" t="s">
        <v>30</v>
      </c>
    </row>
    <row r="203" spans="1:23" x14ac:dyDescent="0.35">
      <c r="A203">
        <v>1202</v>
      </c>
      <c r="B203" t="s">
        <v>31</v>
      </c>
      <c r="C203" t="s">
        <v>25</v>
      </c>
      <c r="D203" t="s">
        <v>26</v>
      </c>
      <c r="E203" t="s">
        <v>26</v>
      </c>
      <c r="F203" t="s">
        <v>25</v>
      </c>
      <c r="G203" t="s">
        <v>25</v>
      </c>
      <c r="H203" t="s">
        <v>27</v>
      </c>
      <c r="I203" t="s">
        <v>26</v>
      </c>
      <c r="J203" t="s">
        <v>25</v>
      </c>
      <c r="K203" t="s">
        <v>25</v>
      </c>
      <c r="L203" t="s">
        <v>25</v>
      </c>
      <c r="M203" t="s">
        <v>26</v>
      </c>
      <c r="N203" t="s">
        <v>26</v>
      </c>
      <c r="O203" t="s">
        <v>41</v>
      </c>
      <c r="P203" t="s">
        <v>26</v>
      </c>
      <c r="Q203">
        <v>5</v>
      </c>
      <c r="R203" t="s">
        <v>49</v>
      </c>
      <c r="S203" s="2">
        <v>21.04</v>
      </c>
      <c r="T203" s="3">
        <v>2088.6799999999998</v>
      </c>
      <c r="U203" s="4">
        <v>45555</v>
      </c>
      <c r="V203" t="s">
        <v>26</v>
      </c>
      <c r="W203" t="s">
        <v>30</v>
      </c>
    </row>
    <row r="204" spans="1:23" x14ac:dyDescent="0.35">
      <c r="A204">
        <v>1203</v>
      </c>
      <c r="B204" t="s">
        <v>31</v>
      </c>
      <c r="C204" t="s">
        <v>25</v>
      </c>
      <c r="D204" t="s">
        <v>26</v>
      </c>
      <c r="E204" t="s">
        <v>26</v>
      </c>
      <c r="F204" t="s">
        <v>26</v>
      </c>
      <c r="G204" t="s">
        <v>26</v>
      </c>
      <c r="H204" t="s">
        <v>27</v>
      </c>
      <c r="I204" t="s">
        <v>25</v>
      </c>
      <c r="J204" t="s">
        <v>25</v>
      </c>
      <c r="K204" t="s">
        <v>26</v>
      </c>
      <c r="L204" t="s">
        <v>25</v>
      </c>
      <c r="M204" t="s">
        <v>25</v>
      </c>
      <c r="N204" t="s">
        <v>25</v>
      </c>
      <c r="O204" t="s">
        <v>45</v>
      </c>
      <c r="P204" t="s">
        <v>25</v>
      </c>
      <c r="Q204">
        <v>65</v>
      </c>
      <c r="R204" t="s">
        <v>49</v>
      </c>
      <c r="S204" s="2">
        <v>100.28</v>
      </c>
      <c r="T204" s="3">
        <v>1270.8900000000001</v>
      </c>
      <c r="U204" s="4">
        <v>44792</v>
      </c>
      <c r="V204" t="s">
        <v>25</v>
      </c>
      <c r="W204" t="s">
        <v>30</v>
      </c>
    </row>
    <row r="205" spans="1:23" x14ac:dyDescent="0.35">
      <c r="A205">
        <v>1204</v>
      </c>
      <c r="B205" t="s">
        <v>34</v>
      </c>
      <c r="C205" t="s">
        <v>26</v>
      </c>
      <c r="D205" t="s">
        <v>26</v>
      </c>
      <c r="E205" t="s">
        <v>26</v>
      </c>
      <c r="F205" t="s">
        <v>26</v>
      </c>
      <c r="G205" t="s">
        <v>25</v>
      </c>
      <c r="H205" t="s">
        <v>35</v>
      </c>
      <c r="I205" t="s">
        <v>25</v>
      </c>
      <c r="J205" t="s">
        <v>26</v>
      </c>
      <c r="K205" t="s">
        <v>26</v>
      </c>
      <c r="L205" t="s">
        <v>25</v>
      </c>
      <c r="M205" t="s">
        <v>25</v>
      </c>
      <c r="N205" t="s">
        <v>26</v>
      </c>
      <c r="O205" t="s">
        <v>45</v>
      </c>
      <c r="P205" t="s">
        <v>26</v>
      </c>
      <c r="Q205">
        <v>59</v>
      </c>
      <c r="R205" t="s">
        <v>49</v>
      </c>
      <c r="S205" s="2">
        <f>T205/Q205</f>
        <v>100.00525423728814</v>
      </c>
      <c r="T205" s="3">
        <v>5900.31</v>
      </c>
      <c r="U205" s="4">
        <v>45113</v>
      </c>
      <c r="V205" t="s">
        <v>25</v>
      </c>
      <c r="W205" t="s">
        <v>30</v>
      </c>
    </row>
    <row r="206" spans="1:23" x14ac:dyDescent="0.35">
      <c r="A206">
        <v>1205</v>
      </c>
      <c r="B206" t="s">
        <v>31</v>
      </c>
      <c r="C206" t="s">
        <v>25</v>
      </c>
      <c r="D206" t="s">
        <v>26</v>
      </c>
      <c r="E206" t="s">
        <v>25</v>
      </c>
      <c r="F206" t="s">
        <v>26</v>
      </c>
      <c r="G206" t="s">
        <v>26</v>
      </c>
      <c r="H206" t="s">
        <v>35</v>
      </c>
      <c r="I206" t="s">
        <v>25</v>
      </c>
      <c r="J206" t="s">
        <v>26</v>
      </c>
      <c r="K206" t="s">
        <v>26</v>
      </c>
      <c r="L206" t="s">
        <v>25</v>
      </c>
      <c r="M206" t="s">
        <v>25</v>
      </c>
      <c r="N206" t="s">
        <v>25</v>
      </c>
      <c r="O206" t="s">
        <v>28</v>
      </c>
      <c r="P206" t="s">
        <v>26</v>
      </c>
      <c r="Q206">
        <v>56</v>
      </c>
      <c r="R206" t="s">
        <v>49</v>
      </c>
      <c r="S206" s="2">
        <f>T206/Q206</f>
        <v>68.965714285714284</v>
      </c>
      <c r="T206" s="3">
        <v>3862.08</v>
      </c>
      <c r="U206" s="4">
        <v>44990</v>
      </c>
      <c r="V206" t="s">
        <v>26</v>
      </c>
      <c r="W206" t="s">
        <v>30</v>
      </c>
    </row>
    <row r="207" spans="1:23" x14ac:dyDescent="0.35">
      <c r="A207">
        <v>1206</v>
      </c>
      <c r="B207" t="s">
        <v>31</v>
      </c>
      <c r="C207" t="s">
        <v>25</v>
      </c>
      <c r="D207" t="s">
        <v>26</v>
      </c>
      <c r="E207" t="s">
        <v>25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28</v>
      </c>
      <c r="P207" t="s">
        <v>25</v>
      </c>
      <c r="Q207">
        <v>19</v>
      </c>
      <c r="R207" t="s">
        <v>39</v>
      </c>
      <c r="S207" s="2">
        <v>67.989999999999995</v>
      </c>
      <c r="T207" s="3">
        <v>0</v>
      </c>
      <c r="U207" s="4">
        <v>43864</v>
      </c>
      <c r="V207" t="s">
        <v>25</v>
      </c>
      <c r="W207" t="s">
        <v>30</v>
      </c>
    </row>
    <row r="208" spans="1:23" x14ac:dyDescent="0.35">
      <c r="A208">
        <v>1207</v>
      </c>
      <c r="B208" t="s">
        <v>34</v>
      </c>
      <c r="C208" t="s">
        <v>25</v>
      </c>
      <c r="D208" t="s">
        <v>26</v>
      </c>
      <c r="E208" t="s">
        <v>25</v>
      </c>
      <c r="F208" t="s">
        <v>25</v>
      </c>
      <c r="G208" t="s">
        <v>25</v>
      </c>
      <c r="H208" t="s">
        <v>27</v>
      </c>
      <c r="I208" t="s">
        <v>26</v>
      </c>
      <c r="J208" t="s">
        <v>26</v>
      </c>
      <c r="K208" t="s">
        <v>26</v>
      </c>
      <c r="L208" t="s">
        <v>25</v>
      </c>
      <c r="M208" t="s">
        <v>25</v>
      </c>
      <c r="N208" t="s">
        <v>25</v>
      </c>
      <c r="O208" t="s">
        <v>41</v>
      </c>
      <c r="P208" t="s">
        <v>25</v>
      </c>
      <c r="Q208">
        <v>53</v>
      </c>
      <c r="R208" t="s">
        <v>29</v>
      </c>
      <c r="S208" s="2">
        <v>65.680000000000007</v>
      </c>
      <c r="T208" s="3">
        <v>2297.7199999999998</v>
      </c>
      <c r="U208" s="4">
        <v>44332</v>
      </c>
      <c r="V208" t="s">
        <v>25</v>
      </c>
      <c r="W208" t="s">
        <v>30</v>
      </c>
    </row>
    <row r="209" spans="1:23" x14ac:dyDescent="0.35">
      <c r="A209">
        <v>1208</v>
      </c>
      <c r="B209" t="s">
        <v>34</v>
      </c>
      <c r="C209" t="s">
        <v>25</v>
      </c>
      <c r="D209" t="s">
        <v>26</v>
      </c>
      <c r="E209" t="s">
        <v>25</v>
      </c>
      <c r="F209" t="s">
        <v>25</v>
      </c>
      <c r="G209" t="s">
        <v>25</v>
      </c>
      <c r="H209" t="s">
        <v>25</v>
      </c>
      <c r="I209" t="s">
        <v>25</v>
      </c>
      <c r="J209" t="s">
        <v>26</v>
      </c>
      <c r="K209" t="s">
        <v>26</v>
      </c>
      <c r="L209" t="s">
        <v>26</v>
      </c>
      <c r="M209" t="s">
        <v>26</v>
      </c>
      <c r="N209" t="s">
        <v>25</v>
      </c>
      <c r="O209" t="s">
        <v>48</v>
      </c>
      <c r="P209" t="s">
        <v>26</v>
      </c>
      <c r="Q209">
        <v>1</v>
      </c>
      <c r="R209" t="s">
        <v>39</v>
      </c>
      <c r="S209" s="2">
        <v>117.99</v>
      </c>
      <c r="T209" s="3">
        <v>7966.04</v>
      </c>
      <c r="U209" s="4">
        <v>44997</v>
      </c>
      <c r="V209" t="s">
        <v>25</v>
      </c>
      <c r="W209" t="s">
        <v>30</v>
      </c>
    </row>
    <row r="210" spans="1:23" x14ac:dyDescent="0.35">
      <c r="A210">
        <v>1209</v>
      </c>
      <c r="B210" t="s">
        <v>34</v>
      </c>
      <c r="C210" t="s">
        <v>25</v>
      </c>
      <c r="D210" t="s">
        <v>25</v>
      </c>
      <c r="E210" t="s">
        <v>26</v>
      </c>
      <c r="F210" t="s">
        <v>26</v>
      </c>
      <c r="G210" t="s">
        <v>26</v>
      </c>
      <c r="H210" t="s">
        <v>35</v>
      </c>
      <c r="I210" t="s">
        <v>26</v>
      </c>
      <c r="J210" t="s">
        <v>26</v>
      </c>
      <c r="K210" t="s">
        <v>26</v>
      </c>
      <c r="L210" t="s">
        <v>25</v>
      </c>
      <c r="M210" t="s">
        <v>25</v>
      </c>
      <c r="N210" t="s">
        <v>25</v>
      </c>
      <c r="O210" t="s">
        <v>41</v>
      </c>
      <c r="P210" t="s">
        <v>25</v>
      </c>
      <c r="Q210">
        <v>70</v>
      </c>
      <c r="R210" t="s">
        <v>39</v>
      </c>
      <c r="S210" s="2">
        <v>68.12</v>
      </c>
      <c r="T210" s="3">
        <v>2915.56</v>
      </c>
      <c r="U210" s="4">
        <v>44645</v>
      </c>
      <c r="V210" t="s">
        <v>25</v>
      </c>
      <c r="W210" t="s">
        <v>30</v>
      </c>
    </row>
    <row r="211" spans="1:23" x14ac:dyDescent="0.35">
      <c r="A211">
        <v>1210</v>
      </c>
      <c r="B211" t="s">
        <v>34</v>
      </c>
      <c r="C211" t="s">
        <v>25</v>
      </c>
      <c r="D211" t="s">
        <v>26</v>
      </c>
      <c r="E211" t="s">
        <v>25</v>
      </c>
      <c r="F211" t="s">
        <v>26</v>
      </c>
      <c r="G211" t="s">
        <v>26</v>
      </c>
      <c r="H211" t="s">
        <v>25</v>
      </c>
      <c r="I211" t="s">
        <v>25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45</v>
      </c>
      <c r="P211" t="s">
        <v>25</v>
      </c>
      <c r="Q211">
        <v>56</v>
      </c>
      <c r="R211" t="s">
        <v>49</v>
      </c>
      <c r="S211" s="2">
        <v>79.62</v>
      </c>
      <c r="T211" s="3">
        <v>6645.32</v>
      </c>
      <c r="U211" s="4">
        <v>44701</v>
      </c>
      <c r="V211" t="s">
        <v>25</v>
      </c>
      <c r="W211" t="s">
        <v>30</v>
      </c>
    </row>
    <row r="212" spans="1:23" x14ac:dyDescent="0.35">
      <c r="A212">
        <v>1211</v>
      </c>
      <c r="B212" t="s">
        <v>31</v>
      </c>
      <c r="C212" t="s">
        <v>25</v>
      </c>
      <c r="D212" t="s">
        <v>26</v>
      </c>
      <c r="E212" t="s">
        <v>26</v>
      </c>
      <c r="F212" t="s">
        <v>25</v>
      </c>
      <c r="G212" t="s">
        <v>26</v>
      </c>
      <c r="H212" t="s">
        <v>35</v>
      </c>
      <c r="I212" t="s">
        <v>25</v>
      </c>
      <c r="J212" t="s">
        <v>26</v>
      </c>
      <c r="K212" t="s">
        <v>26</v>
      </c>
      <c r="L212" t="s">
        <v>26</v>
      </c>
      <c r="M212" t="s">
        <v>25</v>
      </c>
      <c r="N212" t="s">
        <v>25</v>
      </c>
      <c r="O212" t="s">
        <v>41</v>
      </c>
      <c r="P212" t="s">
        <v>26</v>
      </c>
      <c r="Q212">
        <v>1</v>
      </c>
      <c r="R212" t="s">
        <v>29</v>
      </c>
      <c r="S212" s="2">
        <v>35.659999999999997</v>
      </c>
      <c r="T212" s="3">
        <v>1441.23</v>
      </c>
      <c r="U212" s="4">
        <v>45554</v>
      </c>
      <c r="V212" t="s">
        <v>25</v>
      </c>
      <c r="W212" t="s">
        <v>30</v>
      </c>
    </row>
    <row r="213" spans="1:23" x14ac:dyDescent="0.35">
      <c r="A213">
        <v>1212</v>
      </c>
      <c r="B213" t="s">
        <v>31</v>
      </c>
      <c r="C213" t="s">
        <v>26</v>
      </c>
      <c r="D213" t="s">
        <v>26</v>
      </c>
      <c r="E213" t="s">
        <v>25</v>
      </c>
      <c r="F213" t="s">
        <v>26</v>
      </c>
      <c r="G213" t="s">
        <v>25</v>
      </c>
      <c r="H213" t="s">
        <v>35</v>
      </c>
      <c r="I213" t="s">
        <v>25</v>
      </c>
      <c r="J213" t="s">
        <v>25</v>
      </c>
      <c r="K213" t="s">
        <v>26</v>
      </c>
      <c r="L213" t="s">
        <v>26</v>
      </c>
      <c r="M213" t="s">
        <v>25</v>
      </c>
      <c r="N213" t="s">
        <v>25</v>
      </c>
      <c r="O213" t="s">
        <v>28</v>
      </c>
      <c r="P213" t="s">
        <v>25</v>
      </c>
      <c r="Q213">
        <v>65</v>
      </c>
      <c r="R213" t="s">
        <v>29</v>
      </c>
      <c r="S213" s="2">
        <f>T213/Q213</f>
        <v>67.963692307692313</v>
      </c>
      <c r="T213" s="3">
        <v>4417.6400000000003</v>
      </c>
      <c r="U213" s="4">
        <v>45271</v>
      </c>
      <c r="V213" t="s">
        <v>25</v>
      </c>
      <c r="W213" t="s">
        <v>30</v>
      </c>
    </row>
    <row r="214" spans="1:23" x14ac:dyDescent="0.35">
      <c r="A214">
        <v>1213</v>
      </c>
      <c r="B214" t="s">
        <v>31</v>
      </c>
      <c r="C214" t="s">
        <v>25</v>
      </c>
      <c r="D214" t="s">
        <v>25</v>
      </c>
      <c r="E214" t="s">
        <v>25</v>
      </c>
      <c r="F214" t="s">
        <v>26</v>
      </c>
      <c r="G214" t="s">
        <v>26</v>
      </c>
      <c r="H214" t="s">
        <v>35</v>
      </c>
      <c r="I214" t="s">
        <v>25</v>
      </c>
      <c r="J214" t="s">
        <v>26</v>
      </c>
      <c r="K214" t="s">
        <v>25</v>
      </c>
      <c r="L214" t="s">
        <v>25</v>
      </c>
      <c r="M214" t="s">
        <v>25</v>
      </c>
      <c r="N214" t="s">
        <v>25</v>
      </c>
      <c r="O214" t="s">
        <v>41</v>
      </c>
      <c r="P214" t="s">
        <v>25</v>
      </c>
      <c r="Q214">
        <v>15</v>
      </c>
      <c r="R214" t="s">
        <v>39</v>
      </c>
      <c r="S214" s="2">
        <f>T214/Q214</f>
        <v>26.836666666666666</v>
      </c>
      <c r="T214" s="3">
        <v>402.55</v>
      </c>
      <c r="U214" s="4">
        <v>45538</v>
      </c>
      <c r="V214" t="s">
        <v>26</v>
      </c>
      <c r="W214" t="s">
        <v>30</v>
      </c>
    </row>
    <row r="215" spans="1:23" x14ac:dyDescent="0.35">
      <c r="A215">
        <v>1214</v>
      </c>
      <c r="B215" t="s">
        <v>31</v>
      </c>
      <c r="C215" t="s">
        <v>25</v>
      </c>
      <c r="D215" t="s">
        <v>25</v>
      </c>
      <c r="E215" t="s">
        <v>25</v>
      </c>
      <c r="F215" t="s">
        <v>26</v>
      </c>
      <c r="G215" t="s">
        <v>26</v>
      </c>
      <c r="H215" t="s">
        <v>27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41</v>
      </c>
      <c r="P215" t="s">
        <v>25</v>
      </c>
      <c r="Q215">
        <v>69</v>
      </c>
      <c r="R215" t="s">
        <v>49</v>
      </c>
      <c r="S215" s="2">
        <v>73.91</v>
      </c>
      <c r="T215" s="3">
        <v>2690.15</v>
      </c>
      <c r="U215" s="4">
        <v>44336</v>
      </c>
      <c r="V215" t="s">
        <v>25</v>
      </c>
      <c r="W215" t="s">
        <v>30</v>
      </c>
    </row>
    <row r="216" spans="1:23" x14ac:dyDescent="0.35">
      <c r="A216">
        <v>1215</v>
      </c>
      <c r="B216" t="s">
        <v>31</v>
      </c>
      <c r="C216" t="s">
        <v>25</v>
      </c>
      <c r="D216" t="s">
        <v>25</v>
      </c>
      <c r="E216" t="s">
        <v>25</v>
      </c>
      <c r="F216" t="s">
        <v>26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26</v>
      </c>
      <c r="M216" t="s">
        <v>25</v>
      </c>
      <c r="N216" t="s">
        <v>25</v>
      </c>
      <c r="O216" t="s">
        <v>28</v>
      </c>
      <c r="P216" t="s">
        <v>26</v>
      </c>
      <c r="Q216">
        <v>63</v>
      </c>
      <c r="R216" t="s">
        <v>33</v>
      </c>
      <c r="S216" s="2">
        <v>0</v>
      </c>
      <c r="T216" s="3">
        <v>0</v>
      </c>
      <c r="U216" s="4">
        <v>45155</v>
      </c>
      <c r="V216" t="s">
        <v>25</v>
      </c>
      <c r="W216" t="s">
        <v>30</v>
      </c>
    </row>
    <row r="217" spans="1:23" x14ac:dyDescent="0.35">
      <c r="A217">
        <v>1216</v>
      </c>
      <c r="B217" t="s">
        <v>31</v>
      </c>
      <c r="C217" t="s">
        <v>26</v>
      </c>
      <c r="D217" t="s">
        <v>25</v>
      </c>
      <c r="E217" t="s">
        <v>26</v>
      </c>
      <c r="F217" t="s">
        <v>26</v>
      </c>
      <c r="G217" t="s">
        <v>25</v>
      </c>
      <c r="H217" t="s">
        <v>27</v>
      </c>
      <c r="I217" t="s">
        <v>26</v>
      </c>
      <c r="J217" t="s">
        <v>26</v>
      </c>
      <c r="K217" t="s">
        <v>25</v>
      </c>
      <c r="L217" t="s">
        <v>25</v>
      </c>
      <c r="M217" t="s">
        <v>25</v>
      </c>
      <c r="N217" t="s">
        <v>25</v>
      </c>
      <c r="O217" t="s">
        <v>48</v>
      </c>
      <c r="P217" t="s">
        <v>26</v>
      </c>
      <c r="Q217">
        <v>62</v>
      </c>
      <c r="R217" t="s">
        <v>39</v>
      </c>
      <c r="S217" s="2">
        <v>60.84</v>
      </c>
      <c r="T217" s="3">
        <v>1782.03</v>
      </c>
      <c r="U217" s="4">
        <v>44469</v>
      </c>
      <c r="V217" t="s">
        <v>25</v>
      </c>
      <c r="W217" t="s">
        <v>30</v>
      </c>
    </row>
    <row r="218" spans="1:23" x14ac:dyDescent="0.35">
      <c r="A218">
        <v>1217</v>
      </c>
      <c r="B218" t="s">
        <v>31</v>
      </c>
      <c r="C218" t="s">
        <v>25</v>
      </c>
      <c r="D218" t="s">
        <v>26</v>
      </c>
      <c r="E218" t="s">
        <v>25</v>
      </c>
      <c r="F218" t="s">
        <v>26</v>
      </c>
      <c r="G218" t="s">
        <v>25</v>
      </c>
      <c r="H218" t="s">
        <v>25</v>
      </c>
      <c r="I218" t="s">
        <v>25</v>
      </c>
      <c r="J218" t="s">
        <v>25</v>
      </c>
      <c r="K218" t="s">
        <v>25</v>
      </c>
      <c r="L218" t="s">
        <v>26</v>
      </c>
      <c r="M218" t="s">
        <v>26</v>
      </c>
      <c r="N218" t="s">
        <v>25</v>
      </c>
      <c r="O218" t="s">
        <v>41</v>
      </c>
      <c r="P218" t="s">
        <v>25</v>
      </c>
      <c r="Q218">
        <v>36</v>
      </c>
      <c r="R218" t="s">
        <v>39</v>
      </c>
      <c r="S218" s="2">
        <v>56.72</v>
      </c>
      <c r="T218" s="3">
        <v>7788.3</v>
      </c>
      <c r="U218" s="4">
        <v>44254</v>
      </c>
      <c r="V218" t="s">
        <v>26</v>
      </c>
      <c r="W218" t="s">
        <v>30</v>
      </c>
    </row>
    <row r="219" spans="1:23" x14ac:dyDescent="0.35">
      <c r="A219">
        <v>1218</v>
      </c>
      <c r="B219" t="s">
        <v>0</v>
      </c>
      <c r="C219" t="s">
        <v>26</v>
      </c>
      <c r="D219" t="s">
        <v>25</v>
      </c>
      <c r="E219" t="s">
        <v>26</v>
      </c>
      <c r="F219" t="s">
        <v>26</v>
      </c>
      <c r="G219" t="s">
        <v>25</v>
      </c>
      <c r="H219" t="s">
        <v>27</v>
      </c>
      <c r="I219" t="s">
        <v>26</v>
      </c>
      <c r="J219" t="s">
        <v>25</v>
      </c>
      <c r="K219" t="s">
        <v>25</v>
      </c>
      <c r="L219" t="s">
        <v>26</v>
      </c>
      <c r="M219" t="s">
        <v>25</v>
      </c>
      <c r="N219" t="s">
        <v>25</v>
      </c>
      <c r="O219" t="s">
        <v>28</v>
      </c>
      <c r="P219" t="s">
        <v>26</v>
      </c>
      <c r="Q219">
        <v>0</v>
      </c>
      <c r="R219" t="s">
        <v>29</v>
      </c>
      <c r="S219" s="2">
        <v>34.96</v>
      </c>
      <c r="T219" s="3">
        <v>2534.58</v>
      </c>
      <c r="U219" s="4">
        <v>44932</v>
      </c>
      <c r="V219" t="s">
        <v>25</v>
      </c>
      <c r="W219" t="s">
        <v>30</v>
      </c>
    </row>
    <row r="220" spans="1:23" x14ac:dyDescent="0.35">
      <c r="A220">
        <v>1219</v>
      </c>
      <c r="B220" t="s">
        <v>31</v>
      </c>
      <c r="C220" t="s">
        <v>25</v>
      </c>
      <c r="D220" t="s">
        <v>25</v>
      </c>
      <c r="E220" t="s">
        <v>25</v>
      </c>
      <c r="F220" t="s">
        <v>26</v>
      </c>
      <c r="G220" t="s">
        <v>25</v>
      </c>
      <c r="H220" t="s">
        <v>27</v>
      </c>
      <c r="I220" t="s">
        <v>25</v>
      </c>
      <c r="J220" t="s">
        <v>26</v>
      </c>
      <c r="K220" t="s">
        <v>25</v>
      </c>
      <c r="L220" t="s">
        <v>25</v>
      </c>
      <c r="M220" t="s">
        <v>26</v>
      </c>
      <c r="N220" t="s">
        <v>25</v>
      </c>
      <c r="O220" t="s">
        <v>41</v>
      </c>
      <c r="P220" t="s">
        <v>26</v>
      </c>
      <c r="Q220">
        <v>34</v>
      </c>
      <c r="R220" t="s">
        <v>29</v>
      </c>
      <c r="S220" s="2">
        <v>119.82</v>
      </c>
      <c r="T220" s="3">
        <v>7065.54</v>
      </c>
      <c r="U220" s="4">
        <v>44713</v>
      </c>
      <c r="V220" t="s">
        <v>25</v>
      </c>
      <c r="W220" t="s">
        <v>30</v>
      </c>
    </row>
    <row r="221" spans="1:23" x14ac:dyDescent="0.35">
      <c r="A221">
        <v>1220</v>
      </c>
      <c r="B221" t="s">
        <v>31</v>
      </c>
      <c r="C221" t="s">
        <v>25</v>
      </c>
      <c r="D221" t="s">
        <v>25</v>
      </c>
      <c r="E221" t="s">
        <v>25</v>
      </c>
      <c r="F221" t="s">
        <v>25</v>
      </c>
      <c r="G221" t="s">
        <v>25</v>
      </c>
      <c r="H221" t="s">
        <v>27</v>
      </c>
      <c r="I221" t="s">
        <v>26</v>
      </c>
      <c r="J221" t="s">
        <v>25</v>
      </c>
      <c r="K221" t="s">
        <v>25</v>
      </c>
      <c r="L221" t="s">
        <v>25</v>
      </c>
      <c r="M221" t="s">
        <v>26</v>
      </c>
      <c r="N221" t="s">
        <v>25</v>
      </c>
      <c r="O221" t="s">
        <v>42</v>
      </c>
      <c r="P221" t="s">
        <v>25</v>
      </c>
      <c r="Q221">
        <v>69</v>
      </c>
      <c r="R221" t="s">
        <v>39</v>
      </c>
      <c r="S221" s="2">
        <v>52.67</v>
      </c>
      <c r="T221" s="3">
        <v>5098.8500000000004</v>
      </c>
      <c r="U221" s="4">
        <v>45562</v>
      </c>
      <c r="V221" t="s">
        <v>25</v>
      </c>
      <c r="W221" t="s">
        <v>30</v>
      </c>
    </row>
    <row r="222" spans="1:23" x14ac:dyDescent="0.35">
      <c r="A222">
        <v>1221</v>
      </c>
      <c r="B222" t="s">
        <v>31</v>
      </c>
      <c r="C222" t="s">
        <v>26</v>
      </c>
      <c r="D222" t="s">
        <v>25</v>
      </c>
      <c r="E222" t="s">
        <v>25</v>
      </c>
      <c r="F222" t="s">
        <v>26</v>
      </c>
      <c r="G222" t="s">
        <v>26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26</v>
      </c>
      <c r="O222" t="s">
        <v>42</v>
      </c>
      <c r="P222" t="s">
        <v>25</v>
      </c>
      <c r="Q222">
        <v>59</v>
      </c>
      <c r="R222" t="s">
        <v>39</v>
      </c>
      <c r="S222" s="2">
        <v>76.37</v>
      </c>
      <c r="T222" s="3">
        <v>7277.19</v>
      </c>
      <c r="U222" s="4">
        <v>44932</v>
      </c>
      <c r="V222" t="s">
        <v>25</v>
      </c>
      <c r="W222" t="s">
        <v>30</v>
      </c>
    </row>
    <row r="223" spans="1:23" x14ac:dyDescent="0.35">
      <c r="A223">
        <v>1222</v>
      </c>
      <c r="B223" t="s">
        <v>34</v>
      </c>
      <c r="C223" t="s">
        <v>26</v>
      </c>
      <c r="D223" t="s">
        <v>25</v>
      </c>
      <c r="E223" t="s">
        <v>25</v>
      </c>
      <c r="F223" t="s">
        <v>26</v>
      </c>
      <c r="G223" t="s">
        <v>25</v>
      </c>
      <c r="H223" t="s">
        <v>35</v>
      </c>
      <c r="I223" t="s">
        <v>26</v>
      </c>
      <c r="J223" t="s">
        <v>25</v>
      </c>
      <c r="K223" t="s">
        <v>25</v>
      </c>
      <c r="L223" t="s">
        <v>26</v>
      </c>
      <c r="M223" t="s">
        <v>25</v>
      </c>
      <c r="N223" t="s">
        <v>25</v>
      </c>
      <c r="O223" t="s">
        <v>41</v>
      </c>
      <c r="P223" t="s">
        <v>25</v>
      </c>
      <c r="Q223">
        <v>70</v>
      </c>
      <c r="R223" t="s">
        <v>39</v>
      </c>
      <c r="S223" s="2">
        <v>20.8</v>
      </c>
      <c r="T223" s="3">
        <v>6724.79</v>
      </c>
      <c r="U223" s="4">
        <v>45533</v>
      </c>
      <c r="V223" t="s">
        <v>25</v>
      </c>
      <c r="W223" t="s">
        <v>30</v>
      </c>
    </row>
    <row r="224" spans="1:23" x14ac:dyDescent="0.35">
      <c r="A224">
        <v>1223</v>
      </c>
      <c r="B224" t="s">
        <v>0</v>
      </c>
      <c r="C224" t="s">
        <v>25</v>
      </c>
      <c r="D224" t="s">
        <v>25</v>
      </c>
      <c r="E224" t="s">
        <v>25</v>
      </c>
      <c r="F224" t="s">
        <v>26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41</v>
      </c>
      <c r="P224" t="s">
        <v>25</v>
      </c>
      <c r="Q224">
        <v>20</v>
      </c>
      <c r="R224" t="s">
        <v>29</v>
      </c>
      <c r="S224" s="2">
        <v>24.22</v>
      </c>
      <c r="T224" s="3">
        <v>2958.63</v>
      </c>
      <c r="U224" s="4">
        <v>43870</v>
      </c>
      <c r="V224" t="s">
        <v>25</v>
      </c>
      <c r="W224" t="s">
        <v>30</v>
      </c>
    </row>
    <row r="225" spans="1:23" x14ac:dyDescent="0.35">
      <c r="A225">
        <v>1224</v>
      </c>
      <c r="B225" t="s">
        <v>0</v>
      </c>
      <c r="C225" t="s">
        <v>26</v>
      </c>
      <c r="D225" t="s">
        <v>25</v>
      </c>
      <c r="E225" t="s">
        <v>26</v>
      </c>
      <c r="F225" t="s">
        <v>26</v>
      </c>
      <c r="G225" t="s">
        <v>26</v>
      </c>
      <c r="H225" t="s">
        <v>27</v>
      </c>
      <c r="I225" t="s">
        <v>25</v>
      </c>
      <c r="J225" t="s">
        <v>26</v>
      </c>
      <c r="K225" t="s">
        <v>25</v>
      </c>
      <c r="L225" t="s">
        <v>25</v>
      </c>
      <c r="M225" t="s">
        <v>25</v>
      </c>
      <c r="N225" t="s">
        <v>25</v>
      </c>
      <c r="O225" t="s">
        <v>28</v>
      </c>
      <c r="P225" t="s">
        <v>25</v>
      </c>
      <c r="Q225">
        <v>50</v>
      </c>
      <c r="R225" t="s">
        <v>39</v>
      </c>
      <c r="S225" s="2">
        <v>116.27</v>
      </c>
      <c r="T225" s="3">
        <v>2856.9</v>
      </c>
      <c r="U225" s="4">
        <v>45411</v>
      </c>
      <c r="V225" t="s">
        <v>25</v>
      </c>
      <c r="W225" t="s">
        <v>50</v>
      </c>
    </row>
    <row r="226" spans="1:23" x14ac:dyDescent="0.35">
      <c r="A226">
        <v>1225</v>
      </c>
      <c r="B226" t="s">
        <v>31</v>
      </c>
      <c r="C226" t="s">
        <v>25</v>
      </c>
      <c r="D226" t="s">
        <v>25</v>
      </c>
      <c r="E226" t="s">
        <v>26</v>
      </c>
      <c r="F226" t="s">
        <v>26</v>
      </c>
      <c r="G226" t="s">
        <v>26</v>
      </c>
      <c r="H226" t="s">
        <v>25</v>
      </c>
      <c r="I226" t="s">
        <v>25</v>
      </c>
      <c r="J226" t="s">
        <v>25</v>
      </c>
      <c r="K226" t="s">
        <v>25</v>
      </c>
      <c r="L226" t="s">
        <v>26</v>
      </c>
      <c r="M226" t="s">
        <v>26</v>
      </c>
      <c r="N226" t="s">
        <v>25</v>
      </c>
      <c r="O226" t="s">
        <v>28</v>
      </c>
      <c r="P226" t="s">
        <v>26</v>
      </c>
      <c r="Q226">
        <v>56</v>
      </c>
      <c r="R226" t="s">
        <v>39</v>
      </c>
      <c r="S226" s="2">
        <v>92.36</v>
      </c>
      <c r="T226" s="3">
        <v>2025.18</v>
      </c>
      <c r="U226" s="4">
        <v>43976</v>
      </c>
      <c r="V226" t="s">
        <v>25</v>
      </c>
      <c r="W226" t="s">
        <v>30</v>
      </c>
    </row>
    <row r="227" spans="1:23" x14ac:dyDescent="0.35">
      <c r="A227">
        <v>1226</v>
      </c>
      <c r="B227" t="s">
        <v>31</v>
      </c>
      <c r="C227" t="s">
        <v>25</v>
      </c>
      <c r="D227" t="s">
        <v>26</v>
      </c>
      <c r="E227" t="s">
        <v>25</v>
      </c>
      <c r="F227" t="s">
        <v>26</v>
      </c>
      <c r="G227" t="s">
        <v>25</v>
      </c>
      <c r="H227" t="s">
        <v>27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45</v>
      </c>
      <c r="P227" t="s">
        <v>25</v>
      </c>
      <c r="Q227">
        <v>25</v>
      </c>
      <c r="R227" t="s">
        <v>49</v>
      </c>
      <c r="S227" s="2">
        <v>108.33</v>
      </c>
      <c r="T227" s="3">
        <v>4711.95</v>
      </c>
      <c r="U227" s="4">
        <v>43901</v>
      </c>
      <c r="V227" t="s">
        <v>25</v>
      </c>
      <c r="W227" t="s">
        <v>30</v>
      </c>
    </row>
    <row r="228" spans="1:23" x14ac:dyDescent="0.35">
      <c r="A228">
        <v>1227</v>
      </c>
      <c r="B228" t="s">
        <v>34</v>
      </c>
      <c r="C228" t="s">
        <v>25</v>
      </c>
      <c r="D228" t="s">
        <v>26</v>
      </c>
      <c r="E228" t="s">
        <v>25</v>
      </c>
      <c r="F228" t="s">
        <v>26</v>
      </c>
      <c r="G228" t="s">
        <v>26</v>
      </c>
      <c r="H228" t="s">
        <v>35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26</v>
      </c>
      <c r="O228" t="s">
        <v>41</v>
      </c>
      <c r="P228" t="s">
        <v>26</v>
      </c>
      <c r="Q228">
        <v>145</v>
      </c>
      <c r="R228" t="s">
        <v>39</v>
      </c>
      <c r="S228" s="2">
        <f>T228/Q228</f>
        <v>35.868137931034482</v>
      </c>
      <c r="T228" s="3">
        <v>5200.88</v>
      </c>
      <c r="U228" s="4">
        <v>44979</v>
      </c>
      <c r="V228" t="s">
        <v>25</v>
      </c>
      <c r="W228" t="s">
        <v>30</v>
      </c>
    </row>
    <row r="229" spans="1:23" x14ac:dyDescent="0.35">
      <c r="A229">
        <v>1228</v>
      </c>
      <c r="B229" t="s">
        <v>34</v>
      </c>
      <c r="C229" t="s">
        <v>25</v>
      </c>
      <c r="D229" t="s">
        <v>26</v>
      </c>
      <c r="E229" t="s">
        <v>25</v>
      </c>
      <c r="F229" t="s">
        <v>26</v>
      </c>
      <c r="G229" t="s">
        <v>25</v>
      </c>
      <c r="H229" t="s">
        <v>35</v>
      </c>
      <c r="I229" t="s">
        <v>25</v>
      </c>
      <c r="J229" t="s">
        <v>26</v>
      </c>
      <c r="K229" t="s">
        <v>26</v>
      </c>
      <c r="L229" t="s">
        <v>25</v>
      </c>
      <c r="M229" t="s">
        <v>26</v>
      </c>
      <c r="N229" t="s">
        <v>26</v>
      </c>
      <c r="O229" t="s">
        <v>45</v>
      </c>
      <c r="P229" t="s">
        <v>25</v>
      </c>
      <c r="Q229">
        <v>35</v>
      </c>
      <c r="R229" t="s">
        <v>39</v>
      </c>
      <c r="S229" s="2">
        <v>103.91</v>
      </c>
      <c r="T229" s="3">
        <v>7646.38</v>
      </c>
      <c r="U229" s="4">
        <v>44311</v>
      </c>
      <c r="V229" t="s">
        <v>25</v>
      </c>
      <c r="W229" t="s">
        <v>30</v>
      </c>
    </row>
    <row r="230" spans="1:23" x14ac:dyDescent="0.35">
      <c r="A230">
        <v>1229</v>
      </c>
      <c r="B230" t="s">
        <v>0</v>
      </c>
      <c r="C230" t="s">
        <v>25</v>
      </c>
      <c r="D230" t="s">
        <v>26</v>
      </c>
      <c r="E230" t="s">
        <v>26</v>
      </c>
      <c r="F230" t="s">
        <v>26</v>
      </c>
      <c r="G230" t="s">
        <v>26</v>
      </c>
      <c r="H230" t="s">
        <v>35</v>
      </c>
      <c r="I230" t="s">
        <v>26</v>
      </c>
      <c r="J230" t="s">
        <v>25</v>
      </c>
      <c r="K230" t="s">
        <v>25</v>
      </c>
      <c r="L230" t="s">
        <v>26</v>
      </c>
      <c r="M230" t="s">
        <v>25</v>
      </c>
      <c r="N230" t="s">
        <v>26</v>
      </c>
      <c r="O230" t="s">
        <v>41</v>
      </c>
      <c r="P230" t="s">
        <v>25</v>
      </c>
      <c r="Q230">
        <v>20</v>
      </c>
      <c r="R230" t="s">
        <v>33</v>
      </c>
      <c r="S230" s="2">
        <v>82.76</v>
      </c>
      <c r="T230" s="3">
        <v>5776.5</v>
      </c>
      <c r="U230" s="4">
        <v>44406</v>
      </c>
      <c r="V230" t="s">
        <v>25</v>
      </c>
      <c r="W230" t="s">
        <v>30</v>
      </c>
    </row>
    <row r="231" spans="1:23" x14ac:dyDescent="0.35">
      <c r="A231">
        <v>1230</v>
      </c>
      <c r="B231" t="s">
        <v>34</v>
      </c>
      <c r="C231" t="s">
        <v>26</v>
      </c>
      <c r="D231" t="s">
        <v>25</v>
      </c>
      <c r="E231" t="s">
        <v>25</v>
      </c>
      <c r="F231" t="s">
        <v>26</v>
      </c>
      <c r="G231" t="s">
        <v>26</v>
      </c>
      <c r="H231" t="s">
        <v>35</v>
      </c>
      <c r="I231" t="s">
        <v>26</v>
      </c>
      <c r="J231" t="s">
        <v>25</v>
      </c>
      <c r="K231" t="s">
        <v>25</v>
      </c>
      <c r="L231" t="s">
        <v>25</v>
      </c>
      <c r="M231" t="s">
        <v>26</v>
      </c>
      <c r="N231" t="s">
        <v>25</v>
      </c>
      <c r="O231" t="s">
        <v>45</v>
      </c>
      <c r="P231" t="s">
        <v>25</v>
      </c>
      <c r="Q231">
        <v>36</v>
      </c>
      <c r="R231" t="s">
        <v>39</v>
      </c>
      <c r="S231" s="2">
        <v>110.37</v>
      </c>
      <c r="T231" s="3">
        <v>3748.93</v>
      </c>
      <c r="U231" s="4">
        <v>44075</v>
      </c>
      <c r="V231" t="s">
        <v>25</v>
      </c>
      <c r="W231" t="s">
        <v>30</v>
      </c>
    </row>
    <row r="232" spans="1:23" x14ac:dyDescent="0.35">
      <c r="A232">
        <v>1231</v>
      </c>
      <c r="B232" t="s">
        <v>0</v>
      </c>
      <c r="C232" t="s">
        <v>25</v>
      </c>
      <c r="D232" t="s">
        <v>26</v>
      </c>
      <c r="E232" t="s">
        <v>25</v>
      </c>
      <c r="F232" t="s">
        <v>26</v>
      </c>
      <c r="G232" t="s">
        <v>25</v>
      </c>
      <c r="H232" t="s">
        <v>25</v>
      </c>
      <c r="I232" t="s">
        <v>25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28</v>
      </c>
      <c r="P232" t="s">
        <v>25</v>
      </c>
      <c r="Q232">
        <v>4</v>
      </c>
      <c r="R232" t="s">
        <v>33</v>
      </c>
      <c r="S232" s="2">
        <f>T232/Q232</f>
        <v>975.82500000000005</v>
      </c>
      <c r="T232" s="3">
        <v>3903.3</v>
      </c>
      <c r="U232" s="4">
        <v>45014</v>
      </c>
      <c r="V232" t="s">
        <v>25</v>
      </c>
      <c r="W232" t="s">
        <v>30</v>
      </c>
    </row>
    <row r="233" spans="1:23" x14ac:dyDescent="0.35">
      <c r="A233">
        <v>1232</v>
      </c>
      <c r="B233" t="s">
        <v>31</v>
      </c>
      <c r="C233" t="s">
        <v>25</v>
      </c>
      <c r="D233" t="s">
        <v>25</v>
      </c>
      <c r="E233" t="s">
        <v>26</v>
      </c>
      <c r="F233" t="s">
        <v>26</v>
      </c>
      <c r="G233" t="s">
        <v>25</v>
      </c>
      <c r="H233" t="s">
        <v>27</v>
      </c>
      <c r="I233" t="s">
        <v>25</v>
      </c>
      <c r="J233" t="s">
        <v>26</v>
      </c>
      <c r="K233" t="s">
        <v>26</v>
      </c>
      <c r="L233" t="s">
        <v>25</v>
      </c>
      <c r="M233" t="s">
        <v>26</v>
      </c>
      <c r="N233" t="s">
        <v>26</v>
      </c>
      <c r="O233" t="s">
        <v>41</v>
      </c>
      <c r="P233" t="s">
        <v>26</v>
      </c>
      <c r="Q233">
        <v>13</v>
      </c>
      <c r="R233" t="s">
        <v>29</v>
      </c>
      <c r="S233" s="2">
        <v>113.93</v>
      </c>
      <c r="T233" s="3">
        <v>4171.76</v>
      </c>
      <c r="U233" s="4">
        <v>43878</v>
      </c>
      <c r="V233" t="s">
        <v>25</v>
      </c>
      <c r="W233" t="s">
        <v>30</v>
      </c>
    </row>
    <row r="234" spans="1:23" x14ac:dyDescent="0.35">
      <c r="A234">
        <v>1233</v>
      </c>
      <c r="B234" t="s">
        <v>31</v>
      </c>
      <c r="C234" t="s">
        <v>25</v>
      </c>
      <c r="D234" t="s">
        <v>25</v>
      </c>
      <c r="E234" t="s">
        <v>26</v>
      </c>
      <c r="F234" t="s">
        <v>26</v>
      </c>
      <c r="G234" t="s">
        <v>25</v>
      </c>
      <c r="H234" t="s">
        <v>27</v>
      </c>
      <c r="I234" t="s">
        <v>25</v>
      </c>
      <c r="J234" t="s">
        <v>25</v>
      </c>
      <c r="K234" t="s">
        <v>25</v>
      </c>
      <c r="L234" t="s">
        <v>26</v>
      </c>
      <c r="M234" t="s">
        <v>25</v>
      </c>
      <c r="N234" t="s">
        <v>25</v>
      </c>
      <c r="O234" t="s">
        <v>42</v>
      </c>
      <c r="P234" t="s">
        <v>25</v>
      </c>
      <c r="Q234">
        <v>50</v>
      </c>
      <c r="R234" t="s">
        <v>29</v>
      </c>
      <c r="S234" s="2">
        <f>T234/Q234</f>
        <v>32.752800000000001</v>
      </c>
      <c r="T234" s="3">
        <v>1637.64</v>
      </c>
      <c r="U234" s="4">
        <v>45310</v>
      </c>
      <c r="V234" t="s">
        <v>25</v>
      </c>
      <c r="W234" t="s">
        <v>30</v>
      </c>
    </row>
    <row r="235" spans="1:23" x14ac:dyDescent="0.35">
      <c r="A235">
        <v>1234</v>
      </c>
      <c r="B235" t="s">
        <v>31</v>
      </c>
      <c r="C235" t="s">
        <v>26</v>
      </c>
      <c r="D235" t="s">
        <v>25</v>
      </c>
      <c r="E235" t="s">
        <v>25</v>
      </c>
      <c r="F235" t="s">
        <v>26</v>
      </c>
      <c r="G235" t="s">
        <v>25</v>
      </c>
      <c r="H235" t="s">
        <v>27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41</v>
      </c>
      <c r="P235" t="s">
        <v>25</v>
      </c>
      <c r="Q235">
        <v>48</v>
      </c>
      <c r="R235" t="s">
        <v>33</v>
      </c>
      <c r="S235" s="2">
        <v>115.79</v>
      </c>
      <c r="T235" s="3">
        <v>1486.45</v>
      </c>
      <c r="U235" s="4">
        <v>44877</v>
      </c>
      <c r="V235" t="s">
        <v>25</v>
      </c>
      <c r="W235" t="s">
        <v>30</v>
      </c>
    </row>
    <row r="236" spans="1:23" x14ac:dyDescent="0.35">
      <c r="A236">
        <v>1235</v>
      </c>
      <c r="B236" t="s">
        <v>34</v>
      </c>
      <c r="C236" t="s">
        <v>25</v>
      </c>
      <c r="D236" t="s">
        <v>26</v>
      </c>
      <c r="E236" t="s">
        <v>25</v>
      </c>
      <c r="F236" t="s">
        <v>25</v>
      </c>
      <c r="G236" t="s">
        <v>26</v>
      </c>
      <c r="H236" t="s">
        <v>35</v>
      </c>
      <c r="I236" t="s">
        <v>26</v>
      </c>
      <c r="J236" t="s">
        <v>26</v>
      </c>
      <c r="K236" t="s">
        <v>26</v>
      </c>
      <c r="L236" t="s">
        <v>25</v>
      </c>
      <c r="M236" t="s">
        <v>25</v>
      </c>
      <c r="N236" t="s">
        <v>25</v>
      </c>
      <c r="O236" t="s">
        <v>41</v>
      </c>
      <c r="P236" t="s">
        <v>26</v>
      </c>
      <c r="Q236">
        <v>7</v>
      </c>
      <c r="R236" t="s">
        <v>29</v>
      </c>
      <c r="S236" s="2">
        <v>32.619999999999997</v>
      </c>
      <c r="T236" s="3">
        <v>5205.37</v>
      </c>
      <c r="U236" s="4">
        <v>45440</v>
      </c>
      <c r="V236" t="s">
        <v>25</v>
      </c>
      <c r="W236" t="s">
        <v>30</v>
      </c>
    </row>
    <row r="237" spans="1:23" x14ac:dyDescent="0.35">
      <c r="A237">
        <v>1236</v>
      </c>
      <c r="B237" t="s">
        <v>34</v>
      </c>
      <c r="C237" t="s">
        <v>25</v>
      </c>
      <c r="D237" t="s">
        <v>26</v>
      </c>
      <c r="E237" t="s">
        <v>25</v>
      </c>
      <c r="F237" t="s">
        <v>26</v>
      </c>
      <c r="G237" t="s">
        <v>26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26</v>
      </c>
      <c r="O237" t="s">
        <v>48</v>
      </c>
      <c r="P237" t="s">
        <v>26</v>
      </c>
      <c r="Q237">
        <v>36</v>
      </c>
      <c r="R237" t="s">
        <v>39</v>
      </c>
      <c r="S237" s="2">
        <v>35.54</v>
      </c>
      <c r="T237" s="3">
        <v>1412.14</v>
      </c>
      <c r="U237" s="4">
        <v>45155</v>
      </c>
      <c r="V237" t="s">
        <v>25</v>
      </c>
      <c r="W237" t="s">
        <v>30</v>
      </c>
    </row>
    <row r="238" spans="1:23" x14ac:dyDescent="0.35">
      <c r="A238">
        <v>1237</v>
      </c>
      <c r="B238" t="s">
        <v>31</v>
      </c>
      <c r="C238" t="s">
        <v>26</v>
      </c>
      <c r="D238" t="s">
        <v>26</v>
      </c>
      <c r="E238" t="s">
        <v>25</v>
      </c>
      <c r="F238" t="s">
        <v>26</v>
      </c>
      <c r="G238" t="s">
        <v>26</v>
      </c>
      <c r="H238" t="s">
        <v>27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25</v>
      </c>
      <c r="O238" t="s">
        <v>41</v>
      </c>
      <c r="P238" t="s">
        <v>25</v>
      </c>
      <c r="Q238">
        <v>42</v>
      </c>
      <c r="R238" t="s">
        <v>49</v>
      </c>
      <c r="S238" s="2">
        <v>82.86</v>
      </c>
      <c r="T238" s="3">
        <v>1091.94</v>
      </c>
      <c r="U238" s="4">
        <v>44597</v>
      </c>
      <c r="V238" t="s">
        <v>25</v>
      </c>
      <c r="W238" t="s">
        <v>30</v>
      </c>
    </row>
    <row r="239" spans="1:23" x14ac:dyDescent="0.35">
      <c r="A239">
        <v>1238</v>
      </c>
      <c r="B239" t="s">
        <v>31</v>
      </c>
      <c r="C239" t="s">
        <v>25</v>
      </c>
      <c r="D239" t="s">
        <v>25</v>
      </c>
      <c r="E239" t="s">
        <v>25</v>
      </c>
      <c r="F239" t="s">
        <v>26</v>
      </c>
      <c r="G239" t="s">
        <v>25</v>
      </c>
      <c r="H239" t="s">
        <v>25</v>
      </c>
      <c r="I239" t="s">
        <v>26</v>
      </c>
      <c r="J239" t="s">
        <v>25</v>
      </c>
      <c r="K239" t="s">
        <v>26</v>
      </c>
      <c r="L239" t="s">
        <v>26</v>
      </c>
      <c r="M239" t="s">
        <v>25</v>
      </c>
      <c r="N239" t="s">
        <v>25</v>
      </c>
      <c r="O239" t="s">
        <v>45</v>
      </c>
      <c r="P239" t="s">
        <v>25</v>
      </c>
      <c r="Q239">
        <v>14</v>
      </c>
      <c r="R239" t="s">
        <v>39</v>
      </c>
      <c r="S239" s="2">
        <v>56.56</v>
      </c>
      <c r="T239" s="3">
        <v>7003.47</v>
      </c>
      <c r="U239" s="4">
        <v>45366</v>
      </c>
      <c r="V239" t="s">
        <v>25</v>
      </c>
      <c r="W239" t="s">
        <v>30</v>
      </c>
    </row>
    <row r="240" spans="1:23" x14ac:dyDescent="0.35">
      <c r="A240">
        <v>1239</v>
      </c>
      <c r="B240" t="s">
        <v>34</v>
      </c>
      <c r="C240" t="s">
        <v>25</v>
      </c>
      <c r="D240" t="s">
        <v>26</v>
      </c>
      <c r="E240" t="s">
        <v>26</v>
      </c>
      <c r="F240" t="s">
        <v>25</v>
      </c>
      <c r="G240" t="s">
        <v>26</v>
      </c>
      <c r="H240" t="s">
        <v>27</v>
      </c>
      <c r="I240" t="s">
        <v>26</v>
      </c>
      <c r="J240" t="s">
        <v>26</v>
      </c>
      <c r="K240" t="s">
        <v>25</v>
      </c>
      <c r="L240" t="s">
        <v>25</v>
      </c>
      <c r="M240" t="s">
        <v>26</v>
      </c>
      <c r="N240" t="s">
        <v>26</v>
      </c>
      <c r="O240" t="s">
        <v>41</v>
      </c>
      <c r="P240" t="s">
        <v>25</v>
      </c>
      <c r="Q240">
        <v>21</v>
      </c>
      <c r="R240" t="s">
        <v>39</v>
      </c>
      <c r="S240" s="2">
        <v>66.2</v>
      </c>
      <c r="T240" s="3">
        <v>5798.58</v>
      </c>
      <c r="U240" s="4">
        <v>44533</v>
      </c>
      <c r="V240" t="s">
        <v>25</v>
      </c>
      <c r="W240" t="s">
        <v>30</v>
      </c>
    </row>
    <row r="241" spans="1:23" x14ac:dyDescent="0.35">
      <c r="A241">
        <v>1240</v>
      </c>
      <c r="B241" t="s">
        <v>31</v>
      </c>
      <c r="C241" t="s">
        <v>25</v>
      </c>
      <c r="D241" t="s">
        <v>25</v>
      </c>
      <c r="E241" t="s">
        <v>26</v>
      </c>
      <c r="F241" t="s">
        <v>26</v>
      </c>
      <c r="G241" t="s">
        <v>26</v>
      </c>
      <c r="H241" t="s">
        <v>35</v>
      </c>
      <c r="I241" t="s">
        <v>26</v>
      </c>
      <c r="J241" t="s">
        <v>25</v>
      </c>
      <c r="K241" t="s">
        <v>25</v>
      </c>
      <c r="L241" t="s">
        <v>25</v>
      </c>
      <c r="M241" t="s">
        <v>25</v>
      </c>
      <c r="N241" t="s">
        <v>26</v>
      </c>
      <c r="O241" t="s">
        <v>48</v>
      </c>
      <c r="P241" t="s">
        <v>26</v>
      </c>
      <c r="Q241">
        <v>50</v>
      </c>
      <c r="R241" t="s">
        <v>39</v>
      </c>
      <c r="S241" s="2">
        <f>T241/Q241</f>
        <v>60.191400000000002</v>
      </c>
      <c r="T241" s="3">
        <v>3009.57</v>
      </c>
      <c r="U241" s="4">
        <v>44344</v>
      </c>
      <c r="V241" t="s">
        <v>25</v>
      </c>
      <c r="W241" t="s">
        <v>30</v>
      </c>
    </row>
    <row r="242" spans="1:23" x14ac:dyDescent="0.35">
      <c r="A242">
        <v>1241</v>
      </c>
      <c r="B242" t="s">
        <v>34</v>
      </c>
      <c r="C242" t="s">
        <v>26</v>
      </c>
      <c r="D242" t="s">
        <v>26</v>
      </c>
      <c r="E242" t="s">
        <v>26</v>
      </c>
      <c r="F242" t="s">
        <v>26</v>
      </c>
      <c r="G242" t="s">
        <v>25</v>
      </c>
      <c r="H242" t="s">
        <v>27</v>
      </c>
      <c r="I242" t="s">
        <v>26</v>
      </c>
      <c r="J242" t="s">
        <v>26</v>
      </c>
      <c r="K242" t="s">
        <v>26</v>
      </c>
      <c r="L242" t="s">
        <v>25</v>
      </c>
      <c r="M242" t="s">
        <v>25</v>
      </c>
      <c r="N242" t="s">
        <v>25</v>
      </c>
      <c r="O242" t="s">
        <v>41</v>
      </c>
      <c r="P242" t="s">
        <v>26</v>
      </c>
      <c r="Q242">
        <v>2</v>
      </c>
      <c r="R242" t="s">
        <v>33</v>
      </c>
      <c r="S242" s="2">
        <v>30.05</v>
      </c>
      <c r="T242" s="3">
        <v>3641.01</v>
      </c>
      <c r="U242" s="4">
        <v>45637</v>
      </c>
      <c r="V242" t="s">
        <v>25</v>
      </c>
      <c r="W242" t="s">
        <v>30</v>
      </c>
    </row>
    <row r="243" spans="1:23" x14ac:dyDescent="0.35">
      <c r="A243">
        <v>1242</v>
      </c>
      <c r="B243" t="s">
        <v>31</v>
      </c>
      <c r="C243" t="s">
        <v>25</v>
      </c>
      <c r="D243" t="s">
        <v>25</v>
      </c>
      <c r="E243" t="s">
        <v>25</v>
      </c>
      <c r="F243" t="s">
        <v>26</v>
      </c>
      <c r="G243" t="s">
        <v>26</v>
      </c>
      <c r="H243" t="s">
        <v>35</v>
      </c>
      <c r="I243" t="s">
        <v>25</v>
      </c>
      <c r="J243" t="s">
        <v>25</v>
      </c>
      <c r="K243" t="s">
        <v>25</v>
      </c>
      <c r="L243" t="s">
        <v>26</v>
      </c>
      <c r="M243" t="s">
        <v>26</v>
      </c>
      <c r="N243" t="s">
        <v>26</v>
      </c>
      <c r="O243" t="s">
        <v>41</v>
      </c>
      <c r="P243" t="s">
        <v>26</v>
      </c>
      <c r="Q243">
        <v>58</v>
      </c>
      <c r="R243" t="s">
        <v>39</v>
      </c>
      <c r="S243" s="2">
        <v>34.619999999999997</v>
      </c>
      <c r="T243" s="3">
        <v>2528.87</v>
      </c>
      <c r="U243" s="4">
        <v>44350</v>
      </c>
      <c r="V243" t="s">
        <v>25</v>
      </c>
      <c r="W243" t="s">
        <v>30</v>
      </c>
    </row>
    <row r="244" spans="1:23" x14ac:dyDescent="0.35">
      <c r="A244">
        <v>1243</v>
      </c>
      <c r="B244" t="s">
        <v>0</v>
      </c>
      <c r="C244" t="s">
        <v>25</v>
      </c>
      <c r="D244" t="s">
        <v>25</v>
      </c>
      <c r="E244" t="s">
        <v>25</v>
      </c>
      <c r="F244" t="s">
        <v>26</v>
      </c>
      <c r="G244" t="s">
        <v>25</v>
      </c>
      <c r="H244" t="s">
        <v>25</v>
      </c>
      <c r="I244" t="s">
        <v>25</v>
      </c>
      <c r="J244" t="s">
        <v>25</v>
      </c>
      <c r="K244" t="s">
        <v>26</v>
      </c>
      <c r="L244" t="s">
        <v>25</v>
      </c>
      <c r="M244" t="s">
        <v>25</v>
      </c>
      <c r="N244" t="s">
        <v>25</v>
      </c>
      <c r="O244" t="s">
        <v>42</v>
      </c>
      <c r="P244" t="s">
        <v>25</v>
      </c>
      <c r="Q244">
        <v>20</v>
      </c>
      <c r="R244" t="s">
        <v>29</v>
      </c>
      <c r="S244" s="2">
        <v>61.17</v>
      </c>
      <c r="T244" s="3">
        <v>1867.74</v>
      </c>
      <c r="U244" s="4">
        <v>44246</v>
      </c>
      <c r="V244" t="s">
        <v>26</v>
      </c>
      <c r="W244" t="s">
        <v>30</v>
      </c>
    </row>
    <row r="245" spans="1:23" x14ac:dyDescent="0.35">
      <c r="A245">
        <v>1244</v>
      </c>
      <c r="B245" t="s">
        <v>34</v>
      </c>
      <c r="C245" t="s">
        <v>25</v>
      </c>
      <c r="D245" t="s">
        <v>26</v>
      </c>
      <c r="E245" t="s">
        <v>25</v>
      </c>
      <c r="F245" t="s">
        <v>26</v>
      </c>
      <c r="G245" t="s">
        <v>26</v>
      </c>
      <c r="H245" t="s">
        <v>25</v>
      </c>
      <c r="I245" t="s">
        <v>25</v>
      </c>
      <c r="J245" t="s">
        <v>26</v>
      </c>
      <c r="K245" t="s">
        <v>25</v>
      </c>
      <c r="L245" t="s">
        <v>26</v>
      </c>
      <c r="M245" t="s">
        <v>25</v>
      </c>
      <c r="N245" t="s">
        <v>25</v>
      </c>
      <c r="O245" t="s">
        <v>41</v>
      </c>
      <c r="P245" t="s">
        <v>25</v>
      </c>
      <c r="Q245">
        <v>29</v>
      </c>
      <c r="R245" t="s">
        <v>29</v>
      </c>
      <c r="S245" s="2">
        <v>113.43</v>
      </c>
      <c r="T245" s="3">
        <v>2812</v>
      </c>
      <c r="U245" s="4">
        <v>44730</v>
      </c>
      <c r="V245" t="s">
        <v>26</v>
      </c>
      <c r="W245" t="s">
        <v>30</v>
      </c>
    </row>
    <row r="246" spans="1:23" x14ac:dyDescent="0.35">
      <c r="A246">
        <v>1245</v>
      </c>
      <c r="B246" t="s">
        <v>31</v>
      </c>
      <c r="C246" t="s">
        <v>25</v>
      </c>
      <c r="D246" t="s">
        <v>26</v>
      </c>
      <c r="E246" t="s">
        <v>26</v>
      </c>
      <c r="F246" t="s">
        <v>26</v>
      </c>
      <c r="G246" t="s">
        <v>25</v>
      </c>
      <c r="H246" t="s">
        <v>35</v>
      </c>
      <c r="I246" t="s">
        <v>26</v>
      </c>
      <c r="J246" t="s">
        <v>26</v>
      </c>
      <c r="K246" t="s">
        <v>26</v>
      </c>
      <c r="L246" t="s">
        <v>25</v>
      </c>
      <c r="M246" t="s">
        <v>26</v>
      </c>
      <c r="N246" t="s">
        <v>26</v>
      </c>
      <c r="O246" t="s">
        <v>41</v>
      </c>
      <c r="P246" t="s">
        <v>25</v>
      </c>
      <c r="Q246">
        <v>11</v>
      </c>
      <c r="R246" t="s">
        <v>29</v>
      </c>
      <c r="S246" s="2">
        <v>111.9</v>
      </c>
      <c r="T246" s="3">
        <v>4437.3599999999997</v>
      </c>
      <c r="U246" s="4">
        <v>45467</v>
      </c>
      <c r="V246" t="s">
        <v>26</v>
      </c>
      <c r="W246" t="s">
        <v>50</v>
      </c>
    </row>
    <row r="247" spans="1:23" x14ac:dyDescent="0.35">
      <c r="A247">
        <v>1246</v>
      </c>
      <c r="B247" t="s">
        <v>31</v>
      </c>
      <c r="C247" t="s">
        <v>25</v>
      </c>
      <c r="D247" t="s">
        <v>26</v>
      </c>
      <c r="E247" t="s">
        <v>26</v>
      </c>
      <c r="F247" t="s">
        <v>26</v>
      </c>
      <c r="G247" t="s">
        <v>25</v>
      </c>
      <c r="H247" t="s">
        <v>35</v>
      </c>
      <c r="I247" t="s">
        <v>25</v>
      </c>
      <c r="J247" t="s">
        <v>25</v>
      </c>
      <c r="K247" t="s">
        <v>25</v>
      </c>
      <c r="L247" t="s">
        <v>25</v>
      </c>
      <c r="M247" t="s">
        <v>26</v>
      </c>
      <c r="N247" t="s">
        <v>26</v>
      </c>
      <c r="O247" t="s">
        <v>41</v>
      </c>
      <c r="P247" t="s">
        <v>25</v>
      </c>
      <c r="Q247">
        <v>15</v>
      </c>
      <c r="R247" t="s">
        <v>29</v>
      </c>
      <c r="S247" s="2">
        <v>53.36</v>
      </c>
      <c r="T247" s="3">
        <v>439.82</v>
      </c>
      <c r="U247" s="4">
        <v>44783</v>
      </c>
      <c r="V247" t="s">
        <v>26</v>
      </c>
      <c r="W247" t="s">
        <v>30</v>
      </c>
    </row>
    <row r="248" spans="1:23" x14ac:dyDescent="0.35">
      <c r="A248">
        <v>1247</v>
      </c>
      <c r="B248" t="s">
        <v>31</v>
      </c>
      <c r="C248" t="s">
        <v>26</v>
      </c>
      <c r="D248" t="s">
        <v>26</v>
      </c>
      <c r="E248" t="s">
        <v>26</v>
      </c>
      <c r="F248" t="s">
        <v>26</v>
      </c>
      <c r="G248" t="s">
        <v>26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26</v>
      </c>
      <c r="N248" t="s">
        <v>26</v>
      </c>
      <c r="O248" t="s">
        <v>48</v>
      </c>
      <c r="P248" t="s">
        <v>26</v>
      </c>
      <c r="Q248">
        <v>32</v>
      </c>
      <c r="R248" t="s">
        <v>29</v>
      </c>
      <c r="S248" s="2">
        <v>116.41</v>
      </c>
      <c r="T248" s="3">
        <v>1227.23</v>
      </c>
      <c r="U248" s="4">
        <v>43849</v>
      </c>
      <c r="V248" t="s">
        <v>26</v>
      </c>
      <c r="W248" t="s">
        <v>30</v>
      </c>
    </row>
    <row r="249" spans="1:23" x14ac:dyDescent="0.35">
      <c r="A249">
        <v>1248</v>
      </c>
      <c r="B249" t="s">
        <v>34</v>
      </c>
      <c r="C249" t="s">
        <v>25</v>
      </c>
      <c r="D249" t="s">
        <v>25</v>
      </c>
      <c r="E249" t="s">
        <v>26</v>
      </c>
      <c r="F249" t="s">
        <v>26</v>
      </c>
      <c r="G249" t="s">
        <v>25</v>
      </c>
      <c r="H249" t="s">
        <v>25</v>
      </c>
      <c r="I249" t="s">
        <v>25</v>
      </c>
      <c r="J249" t="s">
        <v>26</v>
      </c>
      <c r="K249" t="s">
        <v>25</v>
      </c>
      <c r="L249" t="s">
        <v>25</v>
      </c>
      <c r="M249" t="s">
        <v>26</v>
      </c>
      <c r="N249" t="s">
        <v>25</v>
      </c>
      <c r="O249" t="s">
        <v>41</v>
      </c>
      <c r="P249" t="s">
        <v>25</v>
      </c>
      <c r="Q249">
        <v>53</v>
      </c>
      <c r="R249" t="s">
        <v>49</v>
      </c>
      <c r="S249" s="2">
        <v>59.99</v>
      </c>
      <c r="T249" s="3">
        <v>1014.62</v>
      </c>
      <c r="U249" s="4">
        <v>43874</v>
      </c>
      <c r="V249" t="s">
        <v>26</v>
      </c>
      <c r="W249" t="s">
        <v>30</v>
      </c>
    </row>
    <row r="250" spans="1:23" x14ac:dyDescent="0.35">
      <c r="A250">
        <v>1249</v>
      </c>
      <c r="B250" t="s">
        <v>31</v>
      </c>
      <c r="C250" t="s">
        <v>25</v>
      </c>
      <c r="D250" t="s">
        <v>26</v>
      </c>
      <c r="E250" t="s">
        <v>26</v>
      </c>
      <c r="F250" t="s">
        <v>25</v>
      </c>
      <c r="G250" t="s">
        <v>26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26</v>
      </c>
      <c r="N250" t="s">
        <v>25</v>
      </c>
      <c r="O250" t="s">
        <v>41</v>
      </c>
      <c r="P250" t="s">
        <v>26</v>
      </c>
      <c r="Q250">
        <v>17</v>
      </c>
      <c r="R250" t="s">
        <v>39</v>
      </c>
      <c r="S250" s="2">
        <v>33.72</v>
      </c>
      <c r="T250" s="3">
        <v>2688.83</v>
      </c>
      <c r="U250" s="4">
        <v>45494</v>
      </c>
      <c r="V250" t="s">
        <v>26</v>
      </c>
      <c r="W250" t="s">
        <v>30</v>
      </c>
    </row>
    <row r="251" spans="1:23" x14ac:dyDescent="0.35">
      <c r="A251">
        <v>1250</v>
      </c>
      <c r="B251" t="s">
        <v>31</v>
      </c>
      <c r="C251" t="s">
        <v>25</v>
      </c>
      <c r="D251" t="s">
        <v>26</v>
      </c>
      <c r="E251" t="s">
        <v>25</v>
      </c>
      <c r="F251" t="s">
        <v>26</v>
      </c>
      <c r="G251" t="s">
        <v>25</v>
      </c>
      <c r="H251" t="s">
        <v>35</v>
      </c>
      <c r="I251" t="s">
        <v>26</v>
      </c>
      <c r="J251" t="s">
        <v>25</v>
      </c>
      <c r="K251" t="s">
        <v>26</v>
      </c>
      <c r="L251" t="s">
        <v>25</v>
      </c>
      <c r="M251" t="s">
        <v>25</v>
      </c>
      <c r="N251" t="s">
        <v>25</v>
      </c>
      <c r="O251" t="s">
        <v>41</v>
      </c>
      <c r="P251" t="s">
        <v>26</v>
      </c>
      <c r="Q251">
        <v>47</v>
      </c>
      <c r="R251" t="s">
        <v>33</v>
      </c>
      <c r="S251" s="2">
        <v>41.13</v>
      </c>
      <c r="T251" s="3">
        <v>2398.6999999999998</v>
      </c>
      <c r="U251" s="4">
        <v>44553</v>
      </c>
      <c r="V251" t="s">
        <v>26</v>
      </c>
      <c r="W251" t="s">
        <v>30</v>
      </c>
    </row>
    <row r="252" spans="1:23" x14ac:dyDescent="0.35">
      <c r="A252">
        <v>1251</v>
      </c>
      <c r="B252" t="s">
        <v>31</v>
      </c>
      <c r="C252" t="s">
        <v>25</v>
      </c>
      <c r="D252" t="s">
        <v>26</v>
      </c>
      <c r="E252" t="s">
        <v>25</v>
      </c>
      <c r="F252" t="s">
        <v>26</v>
      </c>
      <c r="G252" t="s">
        <v>25</v>
      </c>
      <c r="H252" t="s">
        <v>25</v>
      </c>
      <c r="I252" t="s">
        <v>25</v>
      </c>
      <c r="J252" t="s">
        <v>26</v>
      </c>
      <c r="K252" t="s">
        <v>26</v>
      </c>
      <c r="L252" t="s">
        <v>26</v>
      </c>
      <c r="M252" t="s">
        <v>25</v>
      </c>
      <c r="N252" t="s">
        <v>25</v>
      </c>
      <c r="O252" t="s">
        <v>28</v>
      </c>
      <c r="P252" t="s">
        <v>25</v>
      </c>
      <c r="Q252">
        <v>25</v>
      </c>
      <c r="R252" t="s">
        <v>39</v>
      </c>
      <c r="S252" s="2">
        <v>30.99</v>
      </c>
      <c r="T252" s="3">
        <v>1023.06</v>
      </c>
      <c r="U252" s="4">
        <v>45440</v>
      </c>
      <c r="V252" t="s">
        <v>26</v>
      </c>
      <c r="W252" t="s">
        <v>30</v>
      </c>
    </row>
    <row r="253" spans="1:23" x14ac:dyDescent="0.35">
      <c r="A253">
        <v>1252</v>
      </c>
      <c r="B253" t="s">
        <v>34</v>
      </c>
      <c r="C253" t="s">
        <v>25</v>
      </c>
      <c r="D253" t="s">
        <v>25</v>
      </c>
      <c r="E253" t="s">
        <v>25</v>
      </c>
      <c r="F253" t="s">
        <v>26</v>
      </c>
      <c r="G253" t="s">
        <v>25</v>
      </c>
      <c r="H253" t="s">
        <v>35</v>
      </c>
      <c r="I253" t="s">
        <v>25</v>
      </c>
      <c r="J253" t="s">
        <v>25</v>
      </c>
      <c r="K253" t="s">
        <v>26</v>
      </c>
      <c r="L253" t="s">
        <v>25</v>
      </c>
      <c r="M253" t="s">
        <v>25</v>
      </c>
      <c r="N253" t="s">
        <v>26</v>
      </c>
      <c r="O253" t="s">
        <v>41</v>
      </c>
      <c r="P253" t="s">
        <v>25</v>
      </c>
      <c r="Q253">
        <v>37</v>
      </c>
      <c r="R253" t="s">
        <v>39</v>
      </c>
      <c r="S253" s="2">
        <f>T253/Q253</f>
        <v>114.57540540540541</v>
      </c>
      <c r="T253" s="3">
        <v>4239.29</v>
      </c>
      <c r="U253" s="4">
        <v>45544</v>
      </c>
      <c r="V253" t="s">
        <v>26</v>
      </c>
      <c r="W253" t="s">
        <v>30</v>
      </c>
    </row>
    <row r="254" spans="1:23" x14ac:dyDescent="0.35">
      <c r="A254">
        <v>1253</v>
      </c>
      <c r="B254" t="s">
        <v>31</v>
      </c>
      <c r="C254" t="s">
        <v>25</v>
      </c>
      <c r="D254" t="s">
        <v>25</v>
      </c>
      <c r="E254" t="s">
        <v>25</v>
      </c>
      <c r="F254" t="s">
        <v>26</v>
      </c>
      <c r="G254" t="s">
        <v>25</v>
      </c>
      <c r="H254" t="s">
        <v>27</v>
      </c>
      <c r="I254" t="s">
        <v>26</v>
      </c>
      <c r="J254" t="s">
        <v>26</v>
      </c>
      <c r="K254" t="s">
        <v>25</v>
      </c>
      <c r="L254" t="s">
        <v>25</v>
      </c>
      <c r="M254" t="s">
        <v>26</v>
      </c>
      <c r="N254" t="s">
        <v>25</v>
      </c>
      <c r="O254" t="s">
        <v>48</v>
      </c>
      <c r="P254" t="s">
        <v>25</v>
      </c>
      <c r="Q254">
        <v>51</v>
      </c>
      <c r="R254" t="s">
        <v>29</v>
      </c>
      <c r="S254" s="2">
        <v>44.19</v>
      </c>
      <c r="T254" s="3">
        <v>7077.48</v>
      </c>
      <c r="U254" s="4">
        <v>44858</v>
      </c>
      <c r="V254" t="s">
        <v>26</v>
      </c>
      <c r="W254" t="s">
        <v>30</v>
      </c>
    </row>
    <row r="255" spans="1:23" x14ac:dyDescent="0.35">
      <c r="A255">
        <v>1254</v>
      </c>
      <c r="B255" t="s">
        <v>31</v>
      </c>
      <c r="C255" t="s">
        <v>25</v>
      </c>
      <c r="D255" t="s">
        <v>25</v>
      </c>
      <c r="E255" t="s">
        <v>25</v>
      </c>
      <c r="F255" t="s">
        <v>26</v>
      </c>
      <c r="G255" t="s">
        <v>25</v>
      </c>
      <c r="H255" t="s">
        <v>27</v>
      </c>
      <c r="I255" t="s">
        <v>25</v>
      </c>
      <c r="J255" t="s">
        <v>26</v>
      </c>
      <c r="K255" t="s">
        <v>25</v>
      </c>
      <c r="L255" t="s">
        <v>25</v>
      </c>
      <c r="M255" t="s">
        <v>26</v>
      </c>
      <c r="N255" t="s">
        <v>25</v>
      </c>
      <c r="O255" t="s">
        <v>41</v>
      </c>
      <c r="P255" t="s">
        <v>25</v>
      </c>
      <c r="Q255">
        <v>17</v>
      </c>
      <c r="R255" t="s">
        <v>39</v>
      </c>
      <c r="S255" s="2">
        <f>T255/Q255</f>
        <v>78.14823529411764</v>
      </c>
      <c r="T255" s="3">
        <v>1328.52</v>
      </c>
      <c r="U255" s="4">
        <v>44195</v>
      </c>
      <c r="V255" t="s">
        <v>26</v>
      </c>
      <c r="W255" t="s">
        <v>50</v>
      </c>
    </row>
    <row r="256" spans="1:23" x14ac:dyDescent="0.35">
      <c r="A256">
        <v>1255</v>
      </c>
      <c r="B256" t="s">
        <v>31</v>
      </c>
      <c r="C256" t="s">
        <v>25</v>
      </c>
      <c r="D256" t="s">
        <v>26</v>
      </c>
      <c r="E256" t="s">
        <v>25</v>
      </c>
      <c r="F256" t="s">
        <v>26</v>
      </c>
      <c r="G256" t="s">
        <v>25</v>
      </c>
      <c r="H256" t="s">
        <v>25</v>
      </c>
      <c r="I256" t="s">
        <v>26</v>
      </c>
      <c r="J256" t="s">
        <v>25</v>
      </c>
      <c r="K256" t="s">
        <v>26</v>
      </c>
      <c r="L256" t="s">
        <v>26</v>
      </c>
      <c r="M256" t="s">
        <v>26</v>
      </c>
      <c r="N256" t="s">
        <v>26</v>
      </c>
      <c r="O256" t="s">
        <v>41</v>
      </c>
      <c r="P256" t="s">
        <v>25</v>
      </c>
      <c r="Q256">
        <v>27</v>
      </c>
      <c r="R256" t="s">
        <v>39</v>
      </c>
      <c r="S256" s="2">
        <v>32.28</v>
      </c>
      <c r="T256" s="3">
        <v>1198.3800000000001</v>
      </c>
      <c r="U256" s="4">
        <v>44424</v>
      </c>
      <c r="V256" t="s">
        <v>26</v>
      </c>
      <c r="W256" t="s">
        <v>30</v>
      </c>
    </row>
    <row r="257" spans="1:23" x14ac:dyDescent="0.35">
      <c r="A257">
        <v>1256</v>
      </c>
      <c r="B257" t="s">
        <v>34</v>
      </c>
      <c r="C257" t="s">
        <v>25</v>
      </c>
      <c r="D257" t="s">
        <v>26</v>
      </c>
      <c r="E257" t="s">
        <v>25</v>
      </c>
      <c r="F257" t="s">
        <v>26</v>
      </c>
      <c r="G257" t="s">
        <v>26</v>
      </c>
      <c r="H257" t="s">
        <v>35</v>
      </c>
      <c r="I257" t="s">
        <v>26</v>
      </c>
      <c r="J257" t="s">
        <v>26</v>
      </c>
      <c r="K257" t="s">
        <v>25</v>
      </c>
      <c r="L257" t="s">
        <v>25</v>
      </c>
      <c r="M257" t="s">
        <v>26</v>
      </c>
      <c r="N257" t="s">
        <v>25</v>
      </c>
      <c r="O257" t="s">
        <v>41</v>
      </c>
      <c r="P257" t="s">
        <v>25</v>
      </c>
      <c r="Q257">
        <v>8</v>
      </c>
      <c r="R257" t="s">
        <v>29</v>
      </c>
      <c r="S257" s="2">
        <v>58.47</v>
      </c>
      <c r="T257" s="3">
        <v>6118.9</v>
      </c>
      <c r="U257" s="4">
        <v>44333</v>
      </c>
      <c r="V257" t="s">
        <v>26</v>
      </c>
      <c r="W257" t="s">
        <v>30</v>
      </c>
    </row>
    <row r="258" spans="1:23" x14ac:dyDescent="0.35">
      <c r="A258">
        <v>1257</v>
      </c>
      <c r="B258" t="s">
        <v>31</v>
      </c>
      <c r="C258" t="s">
        <v>25</v>
      </c>
      <c r="D258" t="s">
        <v>26</v>
      </c>
      <c r="E258" t="s">
        <v>25</v>
      </c>
      <c r="F258" t="s">
        <v>26</v>
      </c>
      <c r="G258" t="s">
        <v>26</v>
      </c>
      <c r="H258" t="s">
        <v>35</v>
      </c>
      <c r="I258" t="s">
        <v>25</v>
      </c>
      <c r="J258" t="s">
        <v>26</v>
      </c>
      <c r="K258" t="s">
        <v>25</v>
      </c>
      <c r="L258" t="s">
        <v>25</v>
      </c>
      <c r="M258" t="s">
        <v>26</v>
      </c>
      <c r="N258" t="s">
        <v>25</v>
      </c>
      <c r="O258" t="s">
        <v>42</v>
      </c>
      <c r="P258" t="s">
        <v>26</v>
      </c>
      <c r="Q258">
        <v>32</v>
      </c>
      <c r="R258" t="s">
        <v>29</v>
      </c>
      <c r="S258" s="2">
        <v>61.2</v>
      </c>
      <c r="T258" s="3">
        <v>4226.95</v>
      </c>
      <c r="U258" s="4">
        <v>45640</v>
      </c>
      <c r="V258" t="s">
        <v>26</v>
      </c>
      <c r="W258" t="s">
        <v>30</v>
      </c>
    </row>
    <row r="259" spans="1:23" x14ac:dyDescent="0.35">
      <c r="A259">
        <v>1258</v>
      </c>
      <c r="B259" t="s">
        <v>31</v>
      </c>
      <c r="C259" t="s">
        <v>25</v>
      </c>
      <c r="D259" t="s">
        <v>26</v>
      </c>
      <c r="E259" t="s">
        <v>25</v>
      </c>
      <c r="F259" t="s">
        <v>26</v>
      </c>
      <c r="G259" t="s">
        <v>25</v>
      </c>
      <c r="H259" t="s">
        <v>27</v>
      </c>
      <c r="I259" t="s">
        <v>25</v>
      </c>
      <c r="J259" t="s">
        <v>26</v>
      </c>
      <c r="K259" t="s">
        <v>26</v>
      </c>
      <c r="L259" t="s">
        <v>25</v>
      </c>
      <c r="M259" t="s">
        <v>25</v>
      </c>
      <c r="N259" t="s">
        <v>25</v>
      </c>
      <c r="O259" t="s">
        <v>28</v>
      </c>
      <c r="P259" t="s">
        <v>25</v>
      </c>
      <c r="Q259">
        <v>21</v>
      </c>
      <c r="R259" t="s">
        <v>33</v>
      </c>
      <c r="S259" s="2">
        <v>97.76</v>
      </c>
      <c r="T259" s="3">
        <v>6710.13</v>
      </c>
      <c r="U259" s="4">
        <v>44740</v>
      </c>
      <c r="V259" t="s">
        <v>26</v>
      </c>
      <c r="W259" t="s">
        <v>30</v>
      </c>
    </row>
    <row r="260" spans="1:23" x14ac:dyDescent="0.35">
      <c r="A260">
        <v>1259</v>
      </c>
      <c r="B260" t="s">
        <v>31</v>
      </c>
      <c r="C260" t="s">
        <v>26</v>
      </c>
      <c r="D260" t="s">
        <v>26</v>
      </c>
      <c r="E260" t="s">
        <v>26</v>
      </c>
      <c r="F260" t="s">
        <v>26</v>
      </c>
      <c r="G260" t="s">
        <v>26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26</v>
      </c>
      <c r="O260" t="s">
        <v>41</v>
      </c>
      <c r="P260" t="s">
        <v>25</v>
      </c>
      <c r="Q260">
        <v>71</v>
      </c>
      <c r="R260" t="s">
        <v>29</v>
      </c>
      <c r="S260" s="2">
        <v>26.36</v>
      </c>
      <c r="T260" s="3">
        <v>4622.12</v>
      </c>
      <c r="U260" s="4">
        <v>45355</v>
      </c>
      <c r="V260" t="s">
        <v>26</v>
      </c>
      <c r="W260" t="s">
        <v>30</v>
      </c>
    </row>
    <row r="261" spans="1:23" x14ac:dyDescent="0.35">
      <c r="A261">
        <v>1260</v>
      </c>
      <c r="B261" t="s">
        <v>31</v>
      </c>
      <c r="C261" t="s">
        <v>26</v>
      </c>
      <c r="D261" t="s">
        <v>25</v>
      </c>
      <c r="E261" t="s">
        <v>25</v>
      </c>
      <c r="F261" t="s">
        <v>25</v>
      </c>
      <c r="G261" t="s">
        <v>25</v>
      </c>
      <c r="H261" t="s">
        <v>35</v>
      </c>
      <c r="I261" t="s">
        <v>25</v>
      </c>
      <c r="J261" t="s">
        <v>26</v>
      </c>
      <c r="K261" t="s">
        <v>25</v>
      </c>
      <c r="L261" t="s">
        <v>26</v>
      </c>
      <c r="M261" t="s">
        <v>26</v>
      </c>
      <c r="N261" t="s">
        <v>25</v>
      </c>
      <c r="O261" t="s">
        <v>41</v>
      </c>
      <c r="P261" t="s">
        <v>25</v>
      </c>
      <c r="Q261">
        <v>2</v>
      </c>
      <c r="R261" t="s">
        <v>49</v>
      </c>
      <c r="S261" s="2">
        <v>106.29</v>
      </c>
      <c r="T261" s="3">
        <v>4221.5200000000004</v>
      </c>
      <c r="U261" s="4">
        <v>45251</v>
      </c>
      <c r="V261" t="s">
        <v>26</v>
      </c>
      <c r="W261" t="s">
        <v>30</v>
      </c>
    </row>
    <row r="262" spans="1:23" x14ac:dyDescent="0.35">
      <c r="A262">
        <v>1261</v>
      </c>
      <c r="B262" t="s">
        <v>34</v>
      </c>
      <c r="C262" t="s">
        <v>25</v>
      </c>
      <c r="D262" t="s">
        <v>25</v>
      </c>
      <c r="E262" t="s">
        <v>25</v>
      </c>
      <c r="F262" t="s">
        <v>26</v>
      </c>
      <c r="G262" t="s">
        <v>25</v>
      </c>
      <c r="H262" t="s">
        <v>25</v>
      </c>
      <c r="I262" t="s">
        <v>25</v>
      </c>
      <c r="J262" t="s">
        <v>26</v>
      </c>
      <c r="K262" t="s">
        <v>25</v>
      </c>
      <c r="L262" t="s">
        <v>25</v>
      </c>
      <c r="M262" t="s">
        <v>26</v>
      </c>
      <c r="N262" t="s">
        <v>26</v>
      </c>
      <c r="O262" t="s">
        <v>41</v>
      </c>
      <c r="P262" t="s">
        <v>26</v>
      </c>
      <c r="Q262">
        <v>7</v>
      </c>
      <c r="R262" t="s">
        <v>39</v>
      </c>
      <c r="S262" s="2">
        <v>117.06</v>
      </c>
      <c r="T262" s="3">
        <v>4845.74</v>
      </c>
      <c r="U262" s="4">
        <v>45158</v>
      </c>
      <c r="V262" t="s">
        <v>26</v>
      </c>
      <c r="W262" t="s">
        <v>30</v>
      </c>
    </row>
    <row r="263" spans="1:23" x14ac:dyDescent="0.35">
      <c r="A263">
        <v>1262</v>
      </c>
      <c r="B263" t="s">
        <v>34</v>
      </c>
      <c r="C263" t="s">
        <v>25</v>
      </c>
      <c r="D263" t="s">
        <v>25</v>
      </c>
      <c r="E263" t="s">
        <v>25</v>
      </c>
      <c r="F263" t="s">
        <v>26</v>
      </c>
      <c r="G263" t="s">
        <v>26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41</v>
      </c>
      <c r="P263" t="s">
        <v>25</v>
      </c>
      <c r="Q263">
        <v>60</v>
      </c>
      <c r="R263" t="s">
        <v>39</v>
      </c>
      <c r="S263" s="2">
        <v>90.36</v>
      </c>
      <c r="T263" s="3">
        <v>3062.97</v>
      </c>
      <c r="U263" s="4">
        <v>45053</v>
      </c>
      <c r="V263" t="s">
        <v>26</v>
      </c>
      <c r="W263" t="s">
        <v>30</v>
      </c>
    </row>
    <row r="264" spans="1:23" x14ac:dyDescent="0.35">
      <c r="A264">
        <v>1263</v>
      </c>
      <c r="B264" t="s">
        <v>34</v>
      </c>
      <c r="C264" t="s">
        <v>25</v>
      </c>
      <c r="D264" t="s">
        <v>25</v>
      </c>
      <c r="E264" t="s">
        <v>25</v>
      </c>
      <c r="F264" t="s">
        <v>26</v>
      </c>
      <c r="G264" t="s">
        <v>25</v>
      </c>
      <c r="H264" t="s">
        <v>27</v>
      </c>
      <c r="I264" t="s">
        <v>26</v>
      </c>
      <c r="J264" t="s">
        <v>25</v>
      </c>
      <c r="K264" t="s">
        <v>25</v>
      </c>
      <c r="L264" t="s">
        <v>26</v>
      </c>
      <c r="M264" t="s">
        <v>26</v>
      </c>
      <c r="N264" t="s">
        <v>26</v>
      </c>
      <c r="O264" t="s">
        <v>41</v>
      </c>
      <c r="P264" t="s">
        <v>26</v>
      </c>
      <c r="Q264">
        <v>30</v>
      </c>
      <c r="R264" t="s">
        <v>29</v>
      </c>
      <c r="S264" s="2">
        <v>61.9</v>
      </c>
      <c r="T264" s="3">
        <v>1520.44</v>
      </c>
      <c r="U264" s="4">
        <v>44205</v>
      </c>
      <c r="V264" t="s">
        <v>26</v>
      </c>
      <c r="W264" t="s">
        <v>30</v>
      </c>
    </row>
    <row r="265" spans="1:23" x14ac:dyDescent="0.35">
      <c r="A265">
        <v>1264</v>
      </c>
      <c r="B265" t="s">
        <v>34</v>
      </c>
      <c r="C265" t="s">
        <v>26</v>
      </c>
      <c r="D265" t="s">
        <v>26</v>
      </c>
      <c r="E265" t="s">
        <v>25</v>
      </c>
      <c r="F265" t="s">
        <v>26</v>
      </c>
      <c r="G265" t="s">
        <v>25</v>
      </c>
      <c r="H265" t="s">
        <v>35</v>
      </c>
      <c r="I265" t="s">
        <v>25</v>
      </c>
      <c r="J265" t="s">
        <v>26</v>
      </c>
      <c r="K265" t="s">
        <v>25</v>
      </c>
      <c r="L265" t="s">
        <v>25</v>
      </c>
      <c r="M265" t="s">
        <v>26</v>
      </c>
      <c r="N265" t="s">
        <v>25</v>
      </c>
      <c r="O265" t="s">
        <v>41</v>
      </c>
      <c r="P265" t="s">
        <v>26</v>
      </c>
      <c r="Q265">
        <v>44</v>
      </c>
      <c r="R265" t="s">
        <v>39</v>
      </c>
      <c r="S265" s="2">
        <v>58.49</v>
      </c>
      <c r="T265" s="3">
        <v>0</v>
      </c>
      <c r="U265" s="4">
        <v>45327</v>
      </c>
      <c r="V265" t="s">
        <v>26</v>
      </c>
      <c r="W265" t="s">
        <v>30</v>
      </c>
    </row>
    <row r="266" spans="1:23" x14ac:dyDescent="0.35">
      <c r="A266">
        <v>1265</v>
      </c>
      <c r="B266" t="s">
        <v>31</v>
      </c>
      <c r="C266" t="s">
        <v>26</v>
      </c>
      <c r="D266" t="s">
        <v>26</v>
      </c>
      <c r="E266" t="s">
        <v>25</v>
      </c>
      <c r="F266" t="s">
        <v>25</v>
      </c>
      <c r="G266" t="s">
        <v>26</v>
      </c>
      <c r="H266" t="s">
        <v>27</v>
      </c>
      <c r="I266" t="s">
        <v>25</v>
      </c>
      <c r="J266" t="s">
        <v>26</v>
      </c>
      <c r="K266" t="s">
        <v>25</v>
      </c>
      <c r="L266" t="s">
        <v>25</v>
      </c>
      <c r="M266" t="s">
        <v>25</v>
      </c>
      <c r="N266" t="s">
        <v>25</v>
      </c>
      <c r="O266" t="s">
        <v>28</v>
      </c>
      <c r="P266" t="s">
        <v>25</v>
      </c>
      <c r="Q266">
        <v>51</v>
      </c>
      <c r="R266" t="s">
        <v>39</v>
      </c>
      <c r="S266" s="2">
        <v>38.74</v>
      </c>
      <c r="T266" s="3">
        <v>3022.77</v>
      </c>
      <c r="U266" s="4">
        <v>45145</v>
      </c>
      <c r="V266" t="s">
        <v>26</v>
      </c>
      <c r="W266" t="s">
        <v>30</v>
      </c>
    </row>
    <row r="267" spans="1:23" x14ac:dyDescent="0.35">
      <c r="A267">
        <v>1266</v>
      </c>
      <c r="B267" t="s">
        <v>34</v>
      </c>
      <c r="C267" t="s">
        <v>25</v>
      </c>
      <c r="D267" t="s">
        <v>25</v>
      </c>
      <c r="E267" t="s">
        <v>26</v>
      </c>
      <c r="F267" t="s">
        <v>26</v>
      </c>
      <c r="G267" t="s">
        <v>25</v>
      </c>
      <c r="H267" t="s">
        <v>35</v>
      </c>
      <c r="I267" t="s">
        <v>25</v>
      </c>
      <c r="J267" t="s">
        <v>25</v>
      </c>
      <c r="K267" t="s">
        <v>25</v>
      </c>
      <c r="L267" t="s">
        <v>25</v>
      </c>
      <c r="M267" t="s">
        <v>26</v>
      </c>
      <c r="N267" t="s">
        <v>26</v>
      </c>
      <c r="O267" t="s">
        <v>28</v>
      </c>
      <c r="P267" t="s">
        <v>26</v>
      </c>
      <c r="Q267">
        <v>6</v>
      </c>
      <c r="R267" t="s">
        <v>49</v>
      </c>
      <c r="S267" s="2">
        <v>59.2</v>
      </c>
      <c r="T267" s="3">
        <v>1193.67</v>
      </c>
      <c r="U267" s="4">
        <v>44431</v>
      </c>
      <c r="V267" t="s">
        <v>26</v>
      </c>
      <c r="W267" t="s">
        <v>30</v>
      </c>
    </row>
    <row r="268" spans="1:23" x14ac:dyDescent="0.35">
      <c r="A268">
        <v>1267</v>
      </c>
      <c r="B268" t="s">
        <v>31</v>
      </c>
      <c r="C268" t="s">
        <v>25</v>
      </c>
      <c r="D268" t="s">
        <v>25</v>
      </c>
      <c r="E268" t="s">
        <v>25</v>
      </c>
      <c r="F268" t="s">
        <v>26</v>
      </c>
      <c r="G268" t="s">
        <v>26</v>
      </c>
      <c r="H268" t="s">
        <v>35</v>
      </c>
      <c r="I268" t="s">
        <v>25</v>
      </c>
      <c r="J268" t="s">
        <v>26</v>
      </c>
      <c r="K268" t="s">
        <v>25</v>
      </c>
      <c r="L268" t="s">
        <v>26</v>
      </c>
      <c r="M268" t="s">
        <v>25</v>
      </c>
      <c r="N268" t="s">
        <v>25</v>
      </c>
      <c r="O268" t="s">
        <v>45</v>
      </c>
      <c r="P268" t="s">
        <v>25</v>
      </c>
      <c r="Q268">
        <v>5</v>
      </c>
      <c r="R268" t="s">
        <v>33</v>
      </c>
      <c r="S268" s="2">
        <v>45.92</v>
      </c>
      <c r="T268" s="3">
        <v>7826.68</v>
      </c>
      <c r="U268" s="4">
        <v>44246</v>
      </c>
      <c r="V268" t="s">
        <v>26</v>
      </c>
      <c r="W268" t="s">
        <v>30</v>
      </c>
    </row>
    <row r="269" spans="1:23" x14ac:dyDescent="0.35">
      <c r="A269">
        <v>1268</v>
      </c>
      <c r="B269" t="s">
        <v>34</v>
      </c>
      <c r="C269" t="s">
        <v>25</v>
      </c>
      <c r="D269" t="s">
        <v>25</v>
      </c>
      <c r="E269" t="s">
        <v>25</v>
      </c>
      <c r="F269" t="s">
        <v>26</v>
      </c>
      <c r="G269" t="s">
        <v>26</v>
      </c>
      <c r="H269" t="s">
        <v>25</v>
      </c>
      <c r="I269" t="s">
        <v>26</v>
      </c>
      <c r="J269" t="s">
        <v>26</v>
      </c>
      <c r="K269" t="s">
        <v>25</v>
      </c>
      <c r="L269" t="s">
        <v>26</v>
      </c>
      <c r="M269" t="s">
        <v>25</v>
      </c>
      <c r="N269" t="s">
        <v>25</v>
      </c>
      <c r="O269" t="s">
        <v>28</v>
      </c>
      <c r="P269" t="s">
        <v>26</v>
      </c>
      <c r="Q269">
        <v>36</v>
      </c>
      <c r="R269" t="s">
        <v>33</v>
      </c>
      <c r="S269" s="2">
        <v>75.489999999999995</v>
      </c>
      <c r="T269" s="3">
        <v>3677.42</v>
      </c>
      <c r="U269" s="4">
        <v>45316</v>
      </c>
      <c r="V269" t="s">
        <v>26</v>
      </c>
      <c r="W269" t="s">
        <v>30</v>
      </c>
    </row>
    <row r="270" spans="1:23" x14ac:dyDescent="0.35">
      <c r="A270">
        <v>1269</v>
      </c>
      <c r="B270" t="s">
        <v>31</v>
      </c>
      <c r="C270" t="s">
        <v>25</v>
      </c>
      <c r="D270" t="s">
        <v>25</v>
      </c>
      <c r="E270" t="s">
        <v>26</v>
      </c>
      <c r="F270" t="s">
        <v>26</v>
      </c>
      <c r="G270" t="s">
        <v>25</v>
      </c>
      <c r="H270" t="s">
        <v>35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41</v>
      </c>
      <c r="P270" t="s">
        <v>26</v>
      </c>
      <c r="Q270">
        <v>16</v>
      </c>
      <c r="R270" t="s">
        <v>29</v>
      </c>
      <c r="S270" s="2">
        <v>47.16</v>
      </c>
      <c r="T270" s="3">
        <v>2534.42</v>
      </c>
      <c r="U270" s="4">
        <v>45208</v>
      </c>
      <c r="V270" t="s">
        <v>26</v>
      </c>
      <c r="W270" t="s">
        <v>30</v>
      </c>
    </row>
    <row r="271" spans="1:23" x14ac:dyDescent="0.35">
      <c r="A271">
        <v>1270</v>
      </c>
      <c r="B271" t="s">
        <v>34</v>
      </c>
      <c r="C271" t="s">
        <v>25</v>
      </c>
      <c r="D271" t="s">
        <v>26</v>
      </c>
      <c r="E271" t="s">
        <v>26</v>
      </c>
      <c r="F271" t="s">
        <v>26</v>
      </c>
      <c r="G271" t="s">
        <v>25</v>
      </c>
      <c r="H271" t="s">
        <v>35</v>
      </c>
      <c r="I271" t="s">
        <v>25</v>
      </c>
      <c r="J271" t="s">
        <v>25</v>
      </c>
      <c r="K271" t="s">
        <v>25</v>
      </c>
      <c r="L271" t="s">
        <v>26</v>
      </c>
      <c r="M271" t="s">
        <v>25</v>
      </c>
      <c r="N271" t="s">
        <v>25</v>
      </c>
      <c r="O271" t="s">
        <v>42</v>
      </c>
      <c r="P271" t="s">
        <v>26</v>
      </c>
      <c r="Q271">
        <v>37</v>
      </c>
      <c r="R271" t="s">
        <v>33</v>
      </c>
      <c r="S271" s="2">
        <v>91.95</v>
      </c>
      <c r="T271" s="3">
        <v>6216.35</v>
      </c>
      <c r="U271" s="4">
        <v>44016</v>
      </c>
      <c r="V271" t="s">
        <v>26</v>
      </c>
      <c r="W271" t="s">
        <v>30</v>
      </c>
    </row>
    <row r="272" spans="1:23" x14ac:dyDescent="0.35">
      <c r="A272">
        <v>1271</v>
      </c>
      <c r="B272" t="s">
        <v>34</v>
      </c>
      <c r="C272" t="s">
        <v>25</v>
      </c>
      <c r="D272" t="s">
        <v>25</v>
      </c>
      <c r="E272" t="s">
        <v>25</v>
      </c>
      <c r="F272" t="s">
        <v>26</v>
      </c>
      <c r="G272" t="s">
        <v>26</v>
      </c>
      <c r="H272" t="s">
        <v>35</v>
      </c>
      <c r="I272" t="s">
        <v>25</v>
      </c>
      <c r="J272" t="s">
        <v>25</v>
      </c>
      <c r="K272" t="s">
        <v>26</v>
      </c>
      <c r="L272" t="s">
        <v>25</v>
      </c>
      <c r="M272" t="s">
        <v>25</v>
      </c>
      <c r="N272" t="s">
        <v>25</v>
      </c>
      <c r="O272" t="s">
        <v>28</v>
      </c>
      <c r="P272" t="s">
        <v>25</v>
      </c>
      <c r="Q272">
        <v>28</v>
      </c>
      <c r="R272" t="s">
        <v>29</v>
      </c>
      <c r="S272" s="2">
        <v>82.27</v>
      </c>
      <c r="T272" s="3">
        <v>2719.5</v>
      </c>
      <c r="U272" s="4">
        <v>43952</v>
      </c>
      <c r="V272" t="s">
        <v>26</v>
      </c>
      <c r="W272" t="s">
        <v>30</v>
      </c>
    </row>
    <row r="273" spans="1:23" x14ac:dyDescent="0.35">
      <c r="A273">
        <v>1272</v>
      </c>
      <c r="B273" t="s">
        <v>34</v>
      </c>
      <c r="C273" t="s">
        <v>26</v>
      </c>
      <c r="D273" t="s">
        <v>25</v>
      </c>
      <c r="E273" t="s">
        <v>25</v>
      </c>
      <c r="F273" t="s">
        <v>26</v>
      </c>
      <c r="G273" t="s">
        <v>26</v>
      </c>
      <c r="H273" t="s">
        <v>25</v>
      </c>
      <c r="I273" t="s">
        <v>26</v>
      </c>
      <c r="J273" t="s">
        <v>26</v>
      </c>
      <c r="K273" t="s">
        <v>25</v>
      </c>
      <c r="L273" t="s">
        <v>25</v>
      </c>
      <c r="M273" t="s">
        <v>26</v>
      </c>
      <c r="N273" t="s">
        <v>25</v>
      </c>
      <c r="O273" t="s">
        <v>45</v>
      </c>
      <c r="P273" t="s">
        <v>26</v>
      </c>
      <c r="Q273">
        <v>32</v>
      </c>
      <c r="R273" t="s">
        <v>39</v>
      </c>
      <c r="S273" s="2">
        <v>111.25</v>
      </c>
      <c r="T273" s="3">
        <v>127.95</v>
      </c>
      <c r="U273" s="4">
        <v>44852</v>
      </c>
      <c r="V273" t="s">
        <v>26</v>
      </c>
      <c r="W273" t="s">
        <v>30</v>
      </c>
    </row>
    <row r="274" spans="1:23" x14ac:dyDescent="0.35">
      <c r="A274">
        <v>1273</v>
      </c>
      <c r="B274" t="s">
        <v>34</v>
      </c>
      <c r="C274" t="s">
        <v>26</v>
      </c>
      <c r="D274" t="s">
        <v>26</v>
      </c>
      <c r="E274" t="s">
        <v>25</v>
      </c>
      <c r="F274" t="s">
        <v>26</v>
      </c>
      <c r="G274" t="s">
        <v>25</v>
      </c>
      <c r="H274" t="s">
        <v>27</v>
      </c>
      <c r="I274" t="s">
        <v>26</v>
      </c>
      <c r="J274" t="s">
        <v>25</v>
      </c>
      <c r="K274" t="s">
        <v>25</v>
      </c>
      <c r="L274" t="s">
        <v>26</v>
      </c>
      <c r="M274" t="s">
        <v>25</v>
      </c>
      <c r="N274" t="s">
        <v>25</v>
      </c>
      <c r="O274" t="s">
        <v>28</v>
      </c>
      <c r="P274" t="s">
        <v>25</v>
      </c>
      <c r="Q274">
        <v>38</v>
      </c>
      <c r="R274" t="s">
        <v>29</v>
      </c>
      <c r="S274" s="2">
        <v>81.63</v>
      </c>
      <c r="T274" s="3">
        <v>1601.83</v>
      </c>
      <c r="U274" s="4">
        <v>45560</v>
      </c>
      <c r="V274" t="s">
        <v>26</v>
      </c>
      <c r="W274" t="s">
        <v>30</v>
      </c>
    </row>
    <row r="275" spans="1:23" x14ac:dyDescent="0.35">
      <c r="A275">
        <v>1274</v>
      </c>
      <c r="B275" t="s">
        <v>34</v>
      </c>
      <c r="C275" t="s">
        <v>25</v>
      </c>
      <c r="D275" t="s">
        <v>26</v>
      </c>
      <c r="E275" t="s">
        <v>25</v>
      </c>
      <c r="F275" t="s">
        <v>25</v>
      </c>
      <c r="G275" t="s">
        <v>25</v>
      </c>
      <c r="H275" t="s">
        <v>35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41</v>
      </c>
      <c r="P275" t="s">
        <v>25</v>
      </c>
      <c r="Q275">
        <v>5</v>
      </c>
      <c r="R275" t="s">
        <v>39</v>
      </c>
      <c r="S275" s="2">
        <v>106.52</v>
      </c>
      <c r="T275" s="3">
        <v>3693.37</v>
      </c>
      <c r="U275" s="4">
        <v>44806</v>
      </c>
      <c r="V275" t="s">
        <v>26</v>
      </c>
      <c r="W275" t="s">
        <v>30</v>
      </c>
    </row>
    <row r="276" spans="1:23" x14ac:dyDescent="0.35">
      <c r="A276">
        <v>1275</v>
      </c>
      <c r="B276" t="s">
        <v>34</v>
      </c>
      <c r="C276" t="s">
        <v>25</v>
      </c>
      <c r="D276" t="s">
        <v>25</v>
      </c>
      <c r="E276" t="s">
        <v>25</v>
      </c>
      <c r="F276" t="s">
        <v>26</v>
      </c>
      <c r="G276" t="s">
        <v>25</v>
      </c>
      <c r="H276" t="s">
        <v>25</v>
      </c>
      <c r="I276" t="s">
        <v>25</v>
      </c>
      <c r="J276" t="s">
        <v>25</v>
      </c>
      <c r="K276" t="s">
        <v>26</v>
      </c>
      <c r="L276" t="s">
        <v>25</v>
      </c>
      <c r="M276" t="s">
        <v>26</v>
      </c>
      <c r="N276" t="s">
        <v>25</v>
      </c>
      <c r="O276" t="s">
        <v>41</v>
      </c>
      <c r="P276" t="s">
        <v>25</v>
      </c>
      <c r="Q276">
        <v>66</v>
      </c>
      <c r="R276" t="s">
        <v>33</v>
      </c>
      <c r="S276" s="2">
        <v>70.25</v>
      </c>
      <c r="T276" s="3">
        <v>1741.64</v>
      </c>
      <c r="U276" s="4">
        <v>43980</v>
      </c>
      <c r="V276" t="s">
        <v>26</v>
      </c>
      <c r="W276" t="s">
        <v>30</v>
      </c>
    </row>
    <row r="277" spans="1:23" x14ac:dyDescent="0.35">
      <c r="A277">
        <v>1276</v>
      </c>
      <c r="B277" t="s">
        <v>31</v>
      </c>
      <c r="C277" t="s">
        <v>25</v>
      </c>
      <c r="D277" t="s">
        <v>25</v>
      </c>
      <c r="E277" t="s">
        <v>26</v>
      </c>
      <c r="F277" t="s">
        <v>26</v>
      </c>
      <c r="G277" t="s">
        <v>25</v>
      </c>
      <c r="H277" t="s">
        <v>27</v>
      </c>
      <c r="I277" t="s">
        <v>25</v>
      </c>
      <c r="J277" t="s">
        <v>25</v>
      </c>
      <c r="K277" t="s">
        <v>25</v>
      </c>
      <c r="L277" t="s">
        <v>25</v>
      </c>
      <c r="M277" t="s">
        <v>26</v>
      </c>
      <c r="N277" t="s">
        <v>26</v>
      </c>
      <c r="O277" t="s">
        <v>41</v>
      </c>
      <c r="P277" t="s">
        <v>25</v>
      </c>
      <c r="Q277">
        <v>44</v>
      </c>
      <c r="R277" t="s">
        <v>49</v>
      </c>
      <c r="S277" s="2">
        <v>30.49</v>
      </c>
      <c r="T277" s="3">
        <v>3602.04</v>
      </c>
      <c r="U277" s="4">
        <v>45305</v>
      </c>
      <c r="V277" t="s">
        <v>26</v>
      </c>
      <c r="W277" t="s">
        <v>30</v>
      </c>
    </row>
    <row r="278" spans="1:23" x14ac:dyDescent="0.35">
      <c r="A278">
        <v>1277</v>
      </c>
      <c r="B278" t="s">
        <v>31</v>
      </c>
      <c r="C278" t="s">
        <v>25</v>
      </c>
      <c r="D278" t="s">
        <v>25</v>
      </c>
      <c r="E278" t="s">
        <v>25</v>
      </c>
      <c r="F278" t="s">
        <v>26</v>
      </c>
      <c r="G278" t="s">
        <v>25</v>
      </c>
      <c r="H278" t="s">
        <v>27</v>
      </c>
      <c r="I278" t="s">
        <v>25</v>
      </c>
      <c r="J278" t="s">
        <v>26</v>
      </c>
      <c r="K278" t="s">
        <v>25</v>
      </c>
      <c r="L278" t="s">
        <v>25</v>
      </c>
      <c r="M278" t="s">
        <v>25</v>
      </c>
      <c r="N278" t="s">
        <v>25</v>
      </c>
      <c r="O278" t="s">
        <v>41</v>
      </c>
      <c r="P278" t="s">
        <v>26</v>
      </c>
      <c r="Q278">
        <v>24</v>
      </c>
      <c r="R278" t="s">
        <v>49</v>
      </c>
      <c r="S278" s="2">
        <v>111.13</v>
      </c>
      <c r="T278" s="3">
        <v>6178.97</v>
      </c>
      <c r="U278" s="4">
        <v>44013</v>
      </c>
      <c r="V278" t="s">
        <v>25</v>
      </c>
      <c r="W278" t="s">
        <v>30</v>
      </c>
    </row>
    <row r="279" spans="1:23" x14ac:dyDescent="0.35">
      <c r="A279">
        <v>1278</v>
      </c>
      <c r="B279" t="s">
        <v>34</v>
      </c>
      <c r="C279" t="s">
        <v>25</v>
      </c>
      <c r="D279" t="s">
        <v>25</v>
      </c>
      <c r="E279" t="s">
        <v>25</v>
      </c>
      <c r="F279" t="s">
        <v>26</v>
      </c>
      <c r="G279" t="s">
        <v>25</v>
      </c>
      <c r="H279" t="s">
        <v>27</v>
      </c>
      <c r="I279" t="s">
        <v>26</v>
      </c>
      <c r="J279" t="s">
        <v>25</v>
      </c>
      <c r="K279" t="s">
        <v>25</v>
      </c>
      <c r="L279" t="s">
        <v>26</v>
      </c>
      <c r="M279" t="s">
        <v>25</v>
      </c>
      <c r="N279" t="s">
        <v>25</v>
      </c>
      <c r="O279" t="s">
        <v>45</v>
      </c>
      <c r="P279" t="s">
        <v>25</v>
      </c>
      <c r="Q279">
        <v>62</v>
      </c>
      <c r="R279" t="s">
        <v>33</v>
      </c>
      <c r="S279" s="2">
        <v>51.05</v>
      </c>
      <c r="T279" s="3">
        <v>6990.25</v>
      </c>
      <c r="U279" s="4">
        <v>44894</v>
      </c>
      <c r="V279" t="s">
        <v>25</v>
      </c>
      <c r="W279" t="s">
        <v>30</v>
      </c>
    </row>
    <row r="280" spans="1:23" x14ac:dyDescent="0.35">
      <c r="A280">
        <v>1279</v>
      </c>
      <c r="B280" t="s">
        <v>34</v>
      </c>
      <c r="C280" t="s">
        <v>25</v>
      </c>
      <c r="D280" t="s">
        <v>26</v>
      </c>
      <c r="E280" t="s">
        <v>25</v>
      </c>
      <c r="F280" t="s">
        <v>26</v>
      </c>
      <c r="G280" t="s">
        <v>25</v>
      </c>
      <c r="H280" t="s">
        <v>35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45</v>
      </c>
      <c r="P280" t="s">
        <v>25</v>
      </c>
      <c r="Q280">
        <v>24</v>
      </c>
      <c r="R280" t="s">
        <v>29</v>
      </c>
      <c r="S280" s="2">
        <v>94.91</v>
      </c>
      <c r="T280" s="3">
        <v>5616.75</v>
      </c>
      <c r="U280" s="4">
        <v>44149</v>
      </c>
      <c r="V280" t="s">
        <v>25</v>
      </c>
      <c r="W280" t="s">
        <v>30</v>
      </c>
    </row>
    <row r="281" spans="1:23" x14ac:dyDescent="0.35">
      <c r="A281">
        <v>1280</v>
      </c>
      <c r="B281" t="s">
        <v>34</v>
      </c>
      <c r="C281" t="s">
        <v>25</v>
      </c>
      <c r="D281" t="s">
        <v>26</v>
      </c>
      <c r="E281" t="s">
        <v>26</v>
      </c>
      <c r="F281" t="s">
        <v>26</v>
      </c>
      <c r="G281" t="s">
        <v>25</v>
      </c>
      <c r="H281" t="s">
        <v>27</v>
      </c>
      <c r="I281" t="s">
        <v>26</v>
      </c>
      <c r="J281" t="s">
        <v>25</v>
      </c>
      <c r="K281" t="s">
        <v>26</v>
      </c>
      <c r="L281" t="s">
        <v>25</v>
      </c>
      <c r="M281" t="s">
        <v>26</v>
      </c>
      <c r="N281" t="s">
        <v>26</v>
      </c>
      <c r="O281" t="s">
        <v>41</v>
      </c>
      <c r="P281" t="s">
        <v>26</v>
      </c>
      <c r="Q281">
        <v>20</v>
      </c>
      <c r="R281" t="s">
        <v>49</v>
      </c>
      <c r="S281" s="2">
        <v>72.599999999999994</v>
      </c>
      <c r="T281" s="3">
        <v>2032.82</v>
      </c>
      <c r="U281" s="4">
        <v>44380</v>
      </c>
      <c r="V281" t="s">
        <v>25</v>
      </c>
      <c r="W281" t="s">
        <v>30</v>
      </c>
    </row>
    <row r="282" spans="1:23" x14ac:dyDescent="0.35">
      <c r="A282">
        <v>1281</v>
      </c>
      <c r="B282" t="s">
        <v>34</v>
      </c>
      <c r="C282" t="s">
        <v>25</v>
      </c>
      <c r="D282" t="s">
        <v>25</v>
      </c>
      <c r="E282" t="s">
        <v>26</v>
      </c>
      <c r="F282" t="s">
        <v>26</v>
      </c>
      <c r="G282" t="s">
        <v>26</v>
      </c>
      <c r="H282" t="s">
        <v>27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26</v>
      </c>
      <c r="O282" t="s">
        <v>41</v>
      </c>
      <c r="P282" t="s">
        <v>25</v>
      </c>
      <c r="Q282">
        <v>58</v>
      </c>
      <c r="R282" t="s">
        <v>33</v>
      </c>
      <c r="S282" s="2">
        <f>T282/Q282</f>
        <v>68.874310344827592</v>
      </c>
      <c r="T282" s="3">
        <v>3994.71</v>
      </c>
      <c r="U282" s="4">
        <v>44247</v>
      </c>
      <c r="V282" t="s">
        <v>25</v>
      </c>
      <c r="W282" t="s">
        <v>30</v>
      </c>
    </row>
    <row r="283" spans="1:23" x14ac:dyDescent="0.35">
      <c r="A283">
        <v>1282</v>
      </c>
      <c r="B283" t="s">
        <v>34</v>
      </c>
      <c r="C283" t="s">
        <v>25</v>
      </c>
      <c r="D283" t="s">
        <v>26</v>
      </c>
      <c r="E283" t="s">
        <v>25</v>
      </c>
      <c r="F283" t="s">
        <v>26</v>
      </c>
      <c r="G283" t="s">
        <v>26</v>
      </c>
      <c r="H283" t="s">
        <v>35</v>
      </c>
      <c r="I283" t="s">
        <v>26</v>
      </c>
      <c r="J283" t="s">
        <v>25</v>
      </c>
      <c r="K283" t="s">
        <v>26</v>
      </c>
      <c r="L283" t="s">
        <v>25</v>
      </c>
      <c r="M283" t="s">
        <v>26</v>
      </c>
      <c r="N283" t="s">
        <v>26</v>
      </c>
      <c r="O283" t="s">
        <v>41</v>
      </c>
      <c r="P283" t="s">
        <v>26</v>
      </c>
      <c r="Q283">
        <v>9</v>
      </c>
      <c r="R283" t="s">
        <v>39</v>
      </c>
      <c r="S283" s="2">
        <v>51.58</v>
      </c>
      <c r="T283" s="3">
        <v>123.53</v>
      </c>
      <c r="U283" s="4">
        <v>43866</v>
      </c>
      <c r="V283" t="s">
        <v>25</v>
      </c>
      <c r="W283" t="s">
        <v>30</v>
      </c>
    </row>
    <row r="284" spans="1:23" x14ac:dyDescent="0.35">
      <c r="A284">
        <v>1283</v>
      </c>
      <c r="B284" t="s">
        <v>34</v>
      </c>
      <c r="C284" t="s">
        <v>25</v>
      </c>
      <c r="D284" t="s">
        <v>26</v>
      </c>
      <c r="E284" t="s">
        <v>25</v>
      </c>
      <c r="F284" t="s">
        <v>26</v>
      </c>
      <c r="G284" t="s">
        <v>25</v>
      </c>
      <c r="H284" t="s">
        <v>35</v>
      </c>
      <c r="I284" t="s">
        <v>25</v>
      </c>
      <c r="J284" t="s">
        <v>26</v>
      </c>
      <c r="K284" t="s">
        <v>25</v>
      </c>
      <c r="L284" t="s">
        <v>26</v>
      </c>
      <c r="M284" t="s">
        <v>25</v>
      </c>
      <c r="N284" t="s">
        <v>25</v>
      </c>
      <c r="O284" t="s">
        <v>42</v>
      </c>
      <c r="P284" t="s">
        <v>26</v>
      </c>
      <c r="Q284">
        <v>41</v>
      </c>
      <c r="R284" t="s">
        <v>33</v>
      </c>
      <c r="S284" s="2">
        <f>T284/Q284</f>
        <v>186.14731707317074</v>
      </c>
      <c r="T284" s="3">
        <v>7632.04</v>
      </c>
      <c r="U284" s="4">
        <v>45095</v>
      </c>
      <c r="V284" t="s">
        <v>25</v>
      </c>
      <c r="W284" t="s">
        <v>30</v>
      </c>
    </row>
    <row r="285" spans="1:23" x14ac:dyDescent="0.35">
      <c r="A285">
        <v>1284</v>
      </c>
      <c r="B285" t="s">
        <v>34</v>
      </c>
      <c r="C285" t="s">
        <v>25</v>
      </c>
      <c r="D285" t="s">
        <v>25</v>
      </c>
      <c r="E285" t="s">
        <v>25</v>
      </c>
      <c r="F285" t="s">
        <v>26</v>
      </c>
      <c r="G285" t="s">
        <v>25</v>
      </c>
      <c r="H285" t="s">
        <v>27</v>
      </c>
      <c r="I285" t="s">
        <v>25</v>
      </c>
      <c r="J285" t="s">
        <v>25</v>
      </c>
      <c r="K285" t="s">
        <v>26</v>
      </c>
      <c r="L285" t="s">
        <v>26</v>
      </c>
      <c r="M285" t="s">
        <v>26</v>
      </c>
      <c r="N285" t="s">
        <v>25</v>
      </c>
      <c r="O285" t="s">
        <v>28</v>
      </c>
      <c r="P285" t="s">
        <v>25</v>
      </c>
      <c r="Q285">
        <v>35</v>
      </c>
      <c r="R285" t="s">
        <v>39</v>
      </c>
      <c r="S285" s="2">
        <v>110.37</v>
      </c>
      <c r="T285" s="3">
        <v>0</v>
      </c>
      <c r="U285" s="4">
        <v>44474</v>
      </c>
      <c r="V285" t="s">
        <v>25</v>
      </c>
      <c r="W285" t="s">
        <v>30</v>
      </c>
    </row>
    <row r="286" spans="1:23" x14ac:dyDescent="0.35">
      <c r="A286">
        <v>1285</v>
      </c>
      <c r="B286" t="s">
        <v>34</v>
      </c>
      <c r="C286" t="s">
        <v>26</v>
      </c>
      <c r="D286" t="s">
        <v>25</v>
      </c>
      <c r="E286" t="s">
        <v>25</v>
      </c>
      <c r="F286" t="s">
        <v>26</v>
      </c>
      <c r="G286" t="s">
        <v>26</v>
      </c>
      <c r="H286" t="s">
        <v>35</v>
      </c>
      <c r="I286" t="s">
        <v>26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41</v>
      </c>
      <c r="P286" t="s">
        <v>26</v>
      </c>
      <c r="Q286">
        <v>55</v>
      </c>
      <c r="R286" t="s">
        <v>49</v>
      </c>
      <c r="S286" s="2">
        <v>79.650000000000006</v>
      </c>
      <c r="T286" s="3">
        <v>6415.87</v>
      </c>
      <c r="U286" s="4">
        <v>45270</v>
      </c>
      <c r="V286" t="s">
        <v>25</v>
      </c>
      <c r="W286" t="s">
        <v>30</v>
      </c>
    </row>
    <row r="287" spans="1:23" x14ac:dyDescent="0.35">
      <c r="A287">
        <v>1286</v>
      </c>
      <c r="B287" t="s">
        <v>31</v>
      </c>
      <c r="C287" t="s">
        <v>25</v>
      </c>
      <c r="D287" t="s">
        <v>25</v>
      </c>
      <c r="E287" t="s">
        <v>26</v>
      </c>
      <c r="F287" t="s">
        <v>26</v>
      </c>
      <c r="G287" t="s">
        <v>26</v>
      </c>
      <c r="H287" t="s">
        <v>27</v>
      </c>
      <c r="I287" t="s">
        <v>26</v>
      </c>
      <c r="J287" t="s">
        <v>25</v>
      </c>
      <c r="K287" t="s">
        <v>25</v>
      </c>
      <c r="L287" t="s">
        <v>25</v>
      </c>
      <c r="M287" t="s">
        <v>26</v>
      </c>
      <c r="N287" t="s">
        <v>26</v>
      </c>
      <c r="O287" t="s">
        <v>42</v>
      </c>
      <c r="P287" t="s">
        <v>25</v>
      </c>
      <c r="Q287">
        <v>11</v>
      </c>
      <c r="R287" t="s">
        <v>29</v>
      </c>
      <c r="S287" s="2">
        <v>61.19</v>
      </c>
      <c r="T287" s="3">
        <v>2574.8000000000002</v>
      </c>
      <c r="U287" s="4">
        <v>44332</v>
      </c>
      <c r="V287" t="s">
        <v>25</v>
      </c>
      <c r="W287" t="s">
        <v>30</v>
      </c>
    </row>
    <row r="288" spans="1:23" x14ac:dyDescent="0.35">
      <c r="A288">
        <v>1287</v>
      </c>
      <c r="B288" t="s">
        <v>31</v>
      </c>
      <c r="C288" t="s">
        <v>25</v>
      </c>
      <c r="D288" t="s">
        <v>26</v>
      </c>
      <c r="E288" t="s">
        <v>26</v>
      </c>
      <c r="F288" t="s">
        <v>26</v>
      </c>
      <c r="G288" t="s">
        <v>25</v>
      </c>
      <c r="H288" t="s">
        <v>27</v>
      </c>
      <c r="I288" t="s">
        <v>25</v>
      </c>
      <c r="J288" t="s">
        <v>25</v>
      </c>
      <c r="K288" t="s">
        <v>26</v>
      </c>
      <c r="L288" t="s">
        <v>25</v>
      </c>
      <c r="M288" t="s">
        <v>26</v>
      </c>
      <c r="N288" t="s">
        <v>25</v>
      </c>
      <c r="O288" t="s">
        <v>48</v>
      </c>
      <c r="P288" t="s">
        <v>25</v>
      </c>
      <c r="Q288">
        <v>35</v>
      </c>
      <c r="R288" t="s">
        <v>39</v>
      </c>
      <c r="S288" s="2">
        <v>46.21</v>
      </c>
      <c r="T288" s="3">
        <v>1973.42</v>
      </c>
      <c r="U288" s="4">
        <v>45525</v>
      </c>
      <c r="V288" t="s">
        <v>25</v>
      </c>
      <c r="W288" t="s">
        <v>30</v>
      </c>
    </row>
    <row r="289" spans="1:23" x14ac:dyDescent="0.35">
      <c r="A289">
        <v>1288</v>
      </c>
      <c r="B289" t="s">
        <v>31</v>
      </c>
      <c r="C289" t="s">
        <v>25</v>
      </c>
      <c r="D289" t="s">
        <v>26</v>
      </c>
      <c r="E289" t="s">
        <v>26</v>
      </c>
      <c r="F289" t="s">
        <v>26</v>
      </c>
      <c r="G289" t="s">
        <v>25</v>
      </c>
      <c r="H289" t="s">
        <v>35</v>
      </c>
      <c r="I289" t="s">
        <v>26</v>
      </c>
      <c r="J289" t="s">
        <v>25</v>
      </c>
      <c r="K289" t="s">
        <v>26</v>
      </c>
      <c r="L289" t="s">
        <v>25</v>
      </c>
      <c r="M289" t="s">
        <v>25</v>
      </c>
      <c r="N289" t="s">
        <v>25</v>
      </c>
      <c r="O289" t="s">
        <v>41</v>
      </c>
      <c r="P289" t="s">
        <v>25</v>
      </c>
      <c r="Q289">
        <v>17</v>
      </c>
      <c r="R289" t="s">
        <v>49</v>
      </c>
      <c r="S289" s="2">
        <v>89.79</v>
      </c>
      <c r="T289" s="3">
        <v>3348.35</v>
      </c>
      <c r="U289" s="4">
        <v>45381</v>
      </c>
      <c r="V289" t="s">
        <v>25</v>
      </c>
      <c r="W289" t="s">
        <v>30</v>
      </c>
    </row>
    <row r="290" spans="1:23" x14ac:dyDescent="0.35">
      <c r="A290">
        <v>1289</v>
      </c>
      <c r="B290" t="s">
        <v>31</v>
      </c>
      <c r="C290" t="s">
        <v>26</v>
      </c>
      <c r="D290" t="s">
        <v>26</v>
      </c>
      <c r="E290" t="s">
        <v>26</v>
      </c>
      <c r="F290" t="s">
        <v>26</v>
      </c>
      <c r="G290" t="s">
        <v>25</v>
      </c>
      <c r="H290" t="s">
        <v>35</v>
      </c>
      <c r="I290" t="s">
        <v>25</v>
      </c>
      <c r="J290" t="s">
        <v>25</v>
      </c>
      <c r="K290" t="s">
        <v>25</v>
      </c>
      <c r="L290" t="s">
        <v>26</v>
      </c>
      <c r="M290" t="s">
        <v>26</v>
      </c>
      <c r="N290" t="s">
        <v>25</v>
      </c>
      <c r="O290" t="s">
        <v>41</v>
      </c>
      <c r="P290" t="s">
        <v>25</v>
      </c>
      <c r="Q290">
        <v>8</v>
      </c>
      <c r="R290" t="s">
        <v>49</v>
      </c>
      <c r="S290" s="2">
        <v>79.69</v>
      </c>
      <c r="T290" s="3">
        <v>7556.49</v>
      </c>
      <c r="U290" s="4">
        <v>45305</v>
      </c>
      <c r="V290" t="s">
        <v>25</v>
      </c>
      <c r="W290" t="s">
        <v>30</v>
      </c>
    </row>
    <row r="291" spans="1:23" x14ac:dyDescent="0.35">
      <c r="A291">
        <v>1290</v>
      </c>
      <c r="B291" t="s">
        <v>34</v>
      </c>
      <c r="C291" t="s">
        <v>25</v>
      </c>
      <c r="D291" t="s">
        <v>25</v>
      </c>
      <c r="E291" t="s">
        <v>25</v>
      </c>
      <c r="F291" t="s">
        <v>25</v>
      </c>
      <c r="G291" t="s">
        <v>25</v>
      </c>
      <c r="H291" t="s">
        <v>35</v>
      </c>
      <c r="I291" t="s">
        <v>25</v>
      </c>
      <c r="J291" t="s">
        <v>25</v>
      </c>
      <c r="K291" t="s">
        <v>26</v>
      </c>
      <c r="L291" t="s">
        <v>25</v>
      </c>
      <c r="M291" t="s">
        <v>25</v>
      </c>
      <c r="N291" t="s">
        <v>25</v>
      </c>
      <c r="O291" t="s">
        <v>41</v>
      </c>
      <c r="P291" t="s">
        <v>26</v>
      </c>
      <c r="Q291">
        <v>37</v>
      </c>
      <c r="R291" t="s">
        <v>29</v>
      </c>
      <c r="S291" s="2">
        <v>65.09</v>
      </c>
      <c r="T291" s="3">
        <v>1059.93</v>
      </c>
      <c r="U291" s="4">
        <v>45035</v>
      </c>
      <c r="V291" t="s">
        <v>25</v>
      </c>
      <c r="W291" t="s">
        <v>30</v>
      </c>
    </row>
    <row r="292" spans="1:23" x14ac:dyDescent="0.35">
      <c r="A292">
        <v>1291</v>
      </c>
      <c r="B292" t="s">
        <v>0</v>
      </c>
      <c r="C292" t="s">
        <v>25</v>
      </c>
      <c r="D292" t="s">
        <v>25</v>
      </c>
      <c r="E292" t="s">
        <v>26</v>
      </c>
      <c r="F292" t="s">
        <v>26</v>
      </c>
      <c r="G292" t="s">
        <v>25</v>
      </c>
      <c r="H292" t="s">
        <v>27</v>
      </c>
      <c r="I292" t="s">
        <v>25</v>
      </c>
      <c r="J292" t="s">
        <v>26</v>
      </c>
      <c r="K292" t="s">
        <v>26</v>
      </c>
      <c r="L292" t="s">
        <v>25</v>
      </c>
      <c r="M292" t="s">
        <v>25</v>
      </c>
      <c r="N292" t="s">
        <v>26</v>
      </c>
      <c r="O292" t="s">
        <v>28</v>
      </c>
      <c r="P292" t="s">
        <v>26</v>
      </c>
      <c r="Q292">
        <v>41</v>
      </c>
      <c r="R292" t="s">
        <v>39</v>
      </c>
      <c r="S292" s="2">
        <v>39.049999999999997</v>
      </c>
      <c r="T292" s="3">
        <v>5949.9</v>
      </c>
      <c r="U292" s="4">
        <v>43955</v>
      </c>
      <c r="V292" t="s">
        <v>25</v>
      </c>
      <c r="W292" t="s">
        <v>30</v>
      </c>
    </row>
    <row r="293" spans="1:23" x14ac:dyDescent="0.35">
      <c r="A293">
        <v>1292</v>
      </c>
      <c r="B293" t="s">
        <v>31</v>
      </c>
      <c r="C293" t="s">
        <v>26</v>
      </c>
      <c r="D293" t="s">
        <v>25</v>
      </c>
      <c r="E293" t="s">
        <v>25</v>
      </c>
      <c r="F293" t="s">
        <v>26</v>
      </c>
      <c r="G293" t="s">
        <v>26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42</v>
      </c>
      <c r="P293" t="s">
        <v>25</v>
      </c>
      <c r="Q293">
        <v>31</v>
      </c>
      <c r="R293" t="s">
        <v>49</v>
      </c>
      <c r="S293" s="2">
        <v>37.049999999999997</v>
      </c>
      <c r="T293" s="3">
        <v>6489.91</v>
      </c>
      <c r="U293" s="4">
        <v>43924</v>
      </c>
      <c r="V293" t="s">
        <v>25</v>
      </c>
      <c r="W293" t="s">
        <v>30</v>
      </c>
    </row>
    <row r="294" spans="1:23" x14ac:dyDescent="0.35">
      <c r="A294">
        <v>1293</v>
      </c>
      <c r="B294" t="s">
        <v>31</v>
      </c>
      <c r="C294" t="s">
        <v>25</v>
      </c>
      <c r="D294" t="s">
        <v>26</v>
      </c>
      <c r="E294" t="s">
        <v>25</v>
      </c>
      <c r="F294" t="s">
        <v>25</v>
      </c>
      <c r="G294" t="s">
        <v>26</v>
      </c>
      <c r="H294" t="s">
        <v>25</v>
      </c>
      <c r="I294" t="s">
        <v>25</v>
      </c>
      <c r="J294" t="s">
        <v>25</v>
      </c>
      <c r="K294" t="s">
        <v>25</v>
      </c>
      <c r="L294" t="s">
        <v>26</v>
      </c>
      <c r="M294" t="s">
        <v>25</v>
      </c>
      <c r="N294" t="s">
        <v>26</v>
      </c>
      <c r="O294" t="s">
        <v>42</v>
      </c>
      <c r="P294" t="s">
        <v>26</v>
      </c>
      <c r="Q294">
        <v>36</v>
      </c>
      <c r="R294" t="s">
        <v>39</v>
      </c>
      <c r="S294" s="2">
        <v>43.25</v>
      </c>
      <c r="T294" s="3">
        <v>1814.47</v>
      </c>
      <c r="U294" s="4">
        <v>44730</v>
      </c>
      <c r="V294" t="s">
        <v>26</v>
      </c>
      <c r="W294" t="s">
        <v>30</v>
      </c>
    </row>
    <row r="295" spans="1:23" x14ac:dyDescent="0.35">
      <c r="A295">
        <v>1294</v>
      </c>
      <c r="B295" t="s">
        <v>0</v>
      </c>
      <c r="C295" t="s">
        <v>25</v>
      </c>
      <c r="D295" t="s">
        <v>25</v>
      </c>
      <c r="E295" t="s">
        <v>26</v>
      </c>
      <c r="F295" t="s">
        <v>26</v>
      </c>
      <c r="G295" t="s">
        <v>25</v>
      </c>
      <c r="H295" t="s">
        <v>27</v>
      </c>
      <c r="I295" t="s">
        <v>26</v>
      </c>
      <c r="J295" t="s">
        <v>25</v>
      </c>
      <c r="K295" t="s">
        <v>26</v>
      </c>
      <c r="L295" t="s">
        <v>26</v>
      </c>
      <c r="M295" t="s">
        <v>25</v>
      </c>
      <c r="N295" t="s">
        <v>26</v>
      </c>
      <c r="O295" t="s">
        <v>41</v>
      </c>
      <c r="P295" t="s">
        <v>26</v>
      </c>
      <c r="Q295">
        <v>25</v>
      </c>
      <c r="R295" t="s">
        <v>33</v>
      </c>
      <c r="S295" s="2">
        <v>86.48</v>
      </c>
      <c r="T295" s="3">
        <v>4196.0200000000004</v>
      </c>
      <c r="U295" s="4">
        <v>45249</v>
      </c>
      <c r="V295" t="s">
        <v>25</v>
      </c>
      <c r="W295" t="s">
        <v>30</v>
      </c>
    </row>
    <row r="296" spans="1:23" x14ac:dyDescent="0.35">
      <c r="A296">
        <v>1295</v>
      </c>
      <c r="B296" t="s">
        <v>31</v>
      </c>
      <c r="C296" t="s">
        <v>25</v>
      </c>
      <c r="D296" t="s">
        <v>25</v>
      </c>
      <c r="E296" t="s">
        <v>25</v>
      </c>
      <c r="F296" t="s">
        <v>26</v>
      </c>
      <c r="G296" t="s">
        <v>26</v>
      </c>
      <c r="H296" t="s">
        <v>27</v>
      </c>
      <c r="I296" t="s">
        <v>25</v>
      </c>
      <c r="J296" t="s">
        <v>26</v>
      </c>
      <c r="K296" t="s">
        <v>25</v>
      </c>
      <c r="L296" t="s">
        <v>26</v>
      </c>
      <c r="M296" t="s">
        <v>25</v>
      </c>
      <c r="N296" t="s">
        <v>25</v>
      </c>
      <c r="O296" t="s">
        <v>48</v>
      </c>
      <c r="P296" t="s">
        <v>25</v>
      </c>
      <c r="Q296">
        <v>30</v>
      </c>
      <c r="R296" t="s">
        <v>39</v>
      </c>
      <c r="S296" s="2">
        <v>95.49</v>
      </c>
      <c r="T296" s="3">
        <v>2312</v>
      </c>
      <c r="U296" s="4">
        <v>43905</v>
      </c>
      <c r="V296" t="s">
        <v>25</v>
      </c>
      <c r="W296" t="s">
        <v>30</v>
      </c>
    </row>
    <row r="297" spans="1:23" x14ac:dyDescent="0.35">
      <c r="A297">
        <v>1296</v>
      </c>
      <c r="B297" t="s">
        <v>31</v>
      </c>
      <c r="C297" t="s">
        <v>25</v>
      </c>
      <c r="D297" t="s">
        <v>25</v>
      </c>
      <c r="E297" t="s">
        <v>25</v>
      </c>
      <c r="F297" t="s">
        <v>25</v>
      </c>
      <c r="G297" t="s">
        <v>25</v>
      </c>
      <c r="H297" t="s">
        <v>35</v>
      </c>
      <c r="I297" t="s">
        <v>25</v>
      </c>
      <c r="J297" t="s">
        <v>25</v>
      </c>
      <c r="K297" t="s">
        <v>25</v>
      </c>
      <c r="L297" t="s">
        <v>25</v>
      </c>
      <c r="M297" t="s">
        <v>26</v>
      </c>
      <c r="N297" t="s">
        <v>25</v>
      </c>
      <c r="O297" t="s">
        <v>41</v>
      </c>
      <c r="P297" t="s">
        <v>26</v>
      </c>
      <c r="Q297">
        <v>4</v>
      </c>
      <c r="R297" t="s">
        <v>49</v>
      </c>
      <c r="S297" s="2">
        <v>76.849999999999994</v>
      </c>
      <c r="T297" s="3">
        <v>1274.2</v>
      </c>
      <c r="U297" s="4">
        <v>43961</v>
      </c>
      <c r="V297" t="s">
        <v>25</v>
      </c>
      <c r="W297" t="s">
        <v>30</v>
      </c>
    </row>
    <row r="298" spans="1:23" x14ac:dyDescent="0.35">
      <c r="A298">
        <v>1297</v>
      </c>
      <c r="B298" t="s">
        <v>31</v>
      </c>
      <c r="C298" t="s">
        <v>25</v>
      </c>
      <c r="D298" t="s">
        <v>26</v>
      </c>
      <c r="E298" t="s">
        <v>26</v>
      </c>
      <c r="F298" t="s">
        <v>26</v>
      </c>
      <c r="G298" t="s">
        <v>26</v>
      </c>
      <c r="H298" t="s">
        <v>27</v>
      </c>
      <c r="I298" t="s">
        <v>25</v>
      </c>
      <c r="J298" t="s">
        <v>25</v>
      </c>
      <c r="K298" t="s">
        <v>26</v>
      </c>
      <c r="L298" t="s">
        <v>25</v>
      </c>
      <c r="M298" t="s">
        <v>25</v>
      </c>
      <c r="N298" t="s">
        <v>25</v>
      </c>
      <c r="O298" t="s">
        <v>45</v>
      </c>
      <c r="P298" t="s">
        <v>26</v>
      </c>
      <c r="Q298">
        <v>18</v>
      </c>
      <c r="R298" t="s">
        <v>39</v>
      </c>
      <c r="S298" s="2">
        <v>39.35</v>
      </c>
      <c r="T298" s="3">
        <v>5088.54</v>
      </c>
      <c r="U298" s="4">
        <v>43897</v>
      </c>
      <c r="V298" t="s">
        <v>25</v>
      </c>
      <c r="W298" t="s">
        <v>30</v>
      </c>
    </row>
    <row r="299" spans="1:23" x14ac:dyDescent="0.35">
      <c r="A299">
        <v>1298</v>
      </c>
      <c r="B299" t="s">
        <v>31</v>
      </c>
      <c r="C299" t="s">
        <v>25</v>
      </c>
      <c r="D299" t="s">
        <v>25</v>
      </c>
      <c r="E299" t="s">
        <v>25</v>
      </c>
      <c r="F299" t="s">
        <v>26</v>
      </c>
      <c r="G299" t="s">
        <v>25</v>
      </c>
      <c r="H299" t="s">
        <v>35</v>
      </c>
      <c r="I299" t="s">
        <v>26</v>
      </c>
      <c r="J299" t="s">
        <v>25</v>
      </c>
      <c r="K299" t="s">
        <v>26</v>
      </c>
      <c r="L299" t="s">
        <v>25</v>
      </c>
      <c r="M299" t="s">
        <v>25</v>
      </c>
      <c r="N299" t="s">
        <v>26</v>
      </c>
      <c r="O299" t="s">
        <v>41</v>
      </c>
      <c r="P299" t="s">
        <v>26</v>
      </c>
      <c r="Q299">
        <v>8</v>
      </c>
      <c r="R299" t="s">
        <v>39</v>
      </c>
      <c r="S299" s="2">
        <v>108.45</v>
      </c>
      <c r="T299" s="3">
        <v>3965.56</v>
      </c>
      <c r="U299" s="4">
        <v>44835</v>
      </c>
      <c r="V299" t="s">
        <v>25</v>
      </c>
      <c r="W299" t="s">
        <v>30</v>
      </c>
    </row>
    <row r="300" spans="1:23" x14ac:dyDescent="0.35">
      <c r="A300">
        <v>1299</v>
      </c>
      <c r="B300" t="s">
        <v>31</v>
      </c>
      <c r="C300" t="s">
        <v>25</v>
      </c>
      <c r="D300" t="s">
        <v>25</v>
      </c>
      <c r="E300" t="s">
        <v>25</v>
      </c>
      <c r="F300" t="s">
        <v>26</v>
      </c>
      <c r="G300" t="s">
        <v>25</v>
      </c>
      <c r="H300" t="s">
        <v>35</v>
      </c>
      <c r="I300" t="s">
        <v>26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41</v>
      </c>
      <c r="P300" t="s">
        <v>26</v>
      </c>
      <c r="Q300">
        <v>41</v>
      </c>
      <c r="R300" t="s">
        <v>29</v>
      </c>
      <c r="S300" s="2">
        <v>75.33</v>
      </c>
      <c r="T300" s="3">
        <v>481.2</v>
      </c>
      <c r="U300" s="4">
        <v>44923</v>
      </c>
      <c r="V300" t="s">
        <v>25</v>
      </c>
      <c r="W300" t="s">
        <v>30</v>
      </c>
    </row>
    <row r="301" spans="1:23" x14ac:dyDescent="0.35">
      <c r="A301">
        <v>1300</v>
      </c>
      <c r="B301" t="s">
        <v>31</v>
      </c>
      <c r="C301" t="s">
        <v>25</v>
      </c>
      <c r="D301" t="s">
        <v>26</v>
      </c>
      <c r="E301" t="s">
        <v>25</v>
      </c>
      <c r="F301" t="s">
        <v>26</v>
      </c>
      <c r="G301" t="s">
        <v>26</v>
      </c>
      <c r="H301" t="s">
        <v>35</v>
      </c>
      <c r="I301" t="s">
        <v>26</v>
      </c>
      <c r="J301" t="s">
        <v>25</v>
      </c>
      <c r="K301" t="s">
        <v>25</v>
      </c>
      <c r="L301" t="s">
        <v>26</v>
      </c>
      <c r="M301" t="s">
        <v>25</v>
      </c>
      <c r="N301" t="s">
        <v>26</v>
      </c>
      <c r="O301" t="s">
        <v>41</v>
      </c>
      <c r="P301" t="s">
        <v>25</v>
      </c>
      <c r="Q301">
        <v>61</v>
      </c>
      <c r="R301" t="s">
        <v>39</v>
      </c>
      <c r="S301" s="2">
        <v>96.13</v>
      </c>
      <c r="T301" s="3">
        <v>2977.53</v>
      </c>
      <c r="U301" s="4">
        <v>44792</v>
      </c>
      <c r="V301" t="s">
        <v>26</v>
      </c>
      <c r="W301" t="s">
        <v>30</v>
      </c>
    </row>
    <row r="302" spans="1:23" x14ac:dyDescent="0.35">
      <c r="A302">
        <v>1301</v>
      </c>
      <c r="B302" t="s">
        <v>34</v>
      </c>
      <c r="C302" t="s">
        <v>25</v>
      </c>
      <c r="D302" t="s">
        <v>25</v>
      </c>
      <c r="E302" t="s">
        <v>26</v>
      </c>
      <c r="F302" t="s">
        <v>26</v>
      </c>
      <c r="G302" t="s">
        <v>26</v>
      </c>
      <c r="H302" t="s">
        <v>25</v>
      </c>
      <c r="I302" t="s">
        <v>25</v>
      </c>
      <c r="J302" t="s">
        <v>26</v>
      </c>
      <c r="K302" t="s">
        <v>25</v>
      </c>
      <c r="L302" t="s">
        <v>25</v>
      </c>
      <c r="M302" t="s">
        <v>25</v>
      </c>
      <c r="N302" t="s">
        <v>25</v>
      </c>
      <c r="O302" t="s">
        <v>28</v>
      </c>
      <c r="P302" t="s">
        <v>25</v>
      </c>
      <c r="Q302">
        <v>29</v>
      </c>
      <c r="R302" t="s">
        <v>29</v>
      </c>
      <c r="S302" s="2">
        <v>112.43</v>
      </c>
      <c r="T302" s="3">
        <v>2840.76</v>
      </c>
      <c r="U302" s="4">
        <v>44279</v>
      </c>
      <c r="V302" t="s">
        <v>25</v>
      </c>
      <c r="W302" t="s">
        <v>30</v>
      </c>
    </row>
    <row r="303" spans="1:23" x14ac:dyDescent="0.35">
      <c r="A303">
        <v>1302</v>
      </c>
      <c r="B303" t="s">
        <v>34</v>
      </c>
      <c r="C303" t="s">
        <v>25</v>
      </c>
      <c r="D303" t="s">
        <v>25</v>
      </c>
      <c r="E303" t="s">
        <v>26</v>
      </c>
      <c r="F303" t="s">
        <v>26</v>
      </c>
      <c r="G303" t="s">
        <v>25</v>
      </c>
      <c r="H303" t="s">
        <v>35</v>
      </c>
      <c r="I303" t="s">
        <v>25</v>
      </c>
      <c r="J303" t="s">
        <v>26</v>
      </c>
      <c r="K303" t="s">
        <v>26</v>
      </c>
      <c r="L303" t="s">
        <v>25</v>
      </c>
      <c r="M303" t="s">
        <v>26</v>
      </c>
      <c r="N303" t="s">
        <v>26</v>
      </c>
      <c r="O303" t="s">
        <v>45</v>
      </c>
      <c r="P303" t="s">
        <v>25</v>
      </c>
      <c r="Q303">
        <v>7</v>
      </c>
      <c r="R303" t="s">
        <v>49</v>
      </c>
      <c r="S303" s="2">
        <v>21.19</v>
      </c>
      <c r="T303" s="3">
        <v>3670.14</v>
      </c>
      <c r="U303" s="4">
        <v>44046</v>
      </c>
      <c r="V303" t="s">
        <v>25</v>
      </c>
      <c r="W303" t="s">
        <v>30</v>
      </c>
    </row>
    <row r="304" spans="1:23" x14ac:dyDescent="0.35">
      <c r="A304">
        <v>1303</v>
      </c>
      <c r="B304" t="s">
        <v>31</v>
      </c>
      <c r="C304" t="s">
        <v>25</v>
      </c>
      <c r="D304" t="s">
        <v>25</v>
      </c>
      <c r="E304" t="s">
        <v>25</v>
      </c>
      <c r="F304" t="s">
        <v>25</v>
      </c>
      <c r="G304" t="s">
        <v>25</v>
      </c>
      <c r="H304" t="s">
        <v>35</v>
      </c>
      <c r="I304" t="s">
        <v>25</v>
      </c>
      <c r="J304" t="s">
        <v>25</v>
      </c>
      <c r="K304" t="s">
        <v>26</v>
      </c>
      <c r="L304" t="s">
        <v>25</v>
      </c>
      <c r="M304" t="s">
        <v>25</v>
      </c>
      <c r="N304" t="s">
        <v>25</v>
      </c>
      <c r="O304" t="s">
        <v>41</v>
      </c>
      <c r="P304" t="s">
        <v>25</v>
      </c>
      <c r="Q304">
        <v>51</v>
      </c>
      <c r="R304" t="s">
        <v>39</v>
      </c>
      <c r="S304" s="2">
        <v>115.92</v>
      </c>
      <c r="T304" s="3">
        <v>4535.62</v>
      </c>
      <c r="U304" s="4">
        <v>43863</v>
      </c>
      <c r="V304" t="s">
        <v>25</v>
      </c>
      <c r="W304" t="s">
        <v>30</v>
      </c>
    </row>
    <row r="305" spans="1:23" x14ac:dyDescent="0.35">
      <c r="A305">
        <v>1304</v>
      </c>
      <c r="B305" t="s">
        <v>31</v>
      </c>
      <c r="C305" t="s">
        <v>26</v>
      </c>
      <c r="D305" t="s">
        <v>26</v>
      </c>
      <c r="E305" t="s">
        <v>26</v>
      </c>
      <c r="F305" t="s">
        <v>26</v>
      </c>
      <c r="G305" t="s">
        <v>25</v>
      </c>
      <c r="H305" t="s">
        <v>35</v>
      </c>
      <c r="I305" t="s">
        <v>25</v>
      </c>
      <c r="J305" t="s">
        <v>26</v>
      </c>
      <c r="K305" t="s">
        <v>26</v>
      </c>
      <c r="L305" t="s">
        <v>25</v>
      </c>
      <c r="M305" t="s">
        <v>26</v>
      </c>
      <c r="N305" t="s">
        <v>25</v>
      </c>
      <c r="O305" t="s">
        <v>41</v>
      </c>
      <c r="P305" t="s">
        <v>25</v>
      </c>
      <c r="Q305">
        <v>7</v>
      </c>
      <c r="R305" t="s">
        <v>33</v>
      </c>
      <c r="S305" s="2">
        <f>T305/Q305</f>
        <v>277.18714285714287</v>
      </c>
      <c r="T305" s="3">
        <v>1940.31</v>
      </c>
      <c r="U305" s="4">
        <v>43981</v>
      </c>
      <c r="V305" t="s">
        <v>25</v>
      </c>
      <c r="W305" t="s">
        <v>30</v>
      </c>
    </row>
    <row r="306" spans="1:23" x14ac:dyDescent="0.35">
      <c r="A306">
        <v>1305</v>
      </c>
      <c r="B306" t="s">
        <v>34</v>
      </c>
      <c r="C306" t="s">
        <v>25</v>
      </c>
      <c r="D306" t="s">
        <v>25</v>
      </c>
      <c r="E306" t="s">
        <v>25</v>
      </c>
      <c r="F306" t="s">
        <v>26</v>
      </c>
      <c r="G306" t="s">
        <v>25</v>
      </c>
      <c r="H306" t="s">
        <v>27</v>
      </c>
      <c r="I306" t="s">
        <v>26</v>
      </c>
      <c r="J306" t="s">
        <v>26</v>
      </c>
      <c r="K306" t="s">
        <v>25</v>
      </c>
      <c r="L306" t="s">
        <v>26</v>
      </c>
      <c r="M306" t="s">
        <v>25</v>
      </c>
      <c r="N306" t="s">
        <v>25</v>
      </c>
      <c r="O306" t="s">
        <v>41</v>
      </c>
      <c r="P306" t="s">
        <v>26</v>
      </c>
      <c r="Q306">
        <v>0</v>
      </c>
      <c r="R306" t="s">
        <v>39</v>
      </c>
      <c r="S306" s="2">
        <v>12</v>
      </c>
      <c r="T306" s="3">
        <v>708</v>
      </c>
      <c r="U306" s="4">
        <v>44727</v>
      </c>
      <c r="V306" t="s">
        <v>25</v>
      </c>
      <c r="W306" t="s">
        <v>30</v>
      </c>
    </row>
    <row r="307" spans="1:23" x14ac:dyDescent="0.35">
      <c r="A307">
        <v>1306</v>
      </c>
      <c r="B307" t="s">
        <v>31</v>
      </c>
      <c r="C307" t="s">
        <v>25</v>
      </c>
      <c r="D307" t="s">
        <v>25</v>
      </c>
      <c r="E307" t="s">
        <v>26</v>
      </c>
      <c r="F307" t="s">
        <v>26</v>
      </c>
      <c r="G307" t="s">
        <v>26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26</v>
      </c>
      <c r="N307" t="s">
        <v>25</v>
      </c>
      <c r="O307" t="s">
        <v>41</v>
      </c>
      <c r="P307" t="s">
        <v>25</v>
      </c>
      <c r="Q307">
        <v>8</v>
      </c>
      <c r="R307" t="s">
        <v>49</v>
      </c>
      <c r="S307" s="2">
        <v>35.72</v>
      </c>
      <c r="T307" s="3">
        <v>2124.65</v>
      </c>
      <c r="U307" s="4">
        <v>45058</v>
      </c>
      <c r="V307" t="s">
        <v>25</v>
      </c>
      <c r="W307" t="s">
        <v>30</v>
      </c>
    </row>
    <row r="308" spans="1:23" x14ac:dyDescent="0.35">
      <c r="A308">
        <v>1307</v>
      </c>
      <c r="B308" t="s">
        <v>31</v>
      </c>
      <c r="C308" t="s">
        <v>25</v>
      </c>
      <c r="D308" t="s">
        <v>25</v>
      </c>
      <c r="E308" t="s">
        <v>25</v>
      </c>
      <c r="F308" t="s">
        <v>26</v>
      </c>
      <c r="G308" t="s">
        <v>25</v>
      </c>
      <c r="H308" t="s">
        <v>35</v>
      </c>
      <c r="I308" t="s">
        <v>26</v>
      </c>
      <c r="J308" t="s">
        <v>26</v>
      </c>
      <c r="K308" t="s">
        <v>26</v>
      </c>
      <c r="L308" t="s">
        <v>25</v>
      </c>
      <c r="M308" t="s">
        <v>25</v>
      </c>
      <c r="N308" t="s">
        <v>25</v>
      </c>
      <c r="O308" t="s">
        <v>48</v>
      </c>
      <c r="P308" t="s">
        <v>26</v>
      </c>
      <c r="Q308">
        <v>30</v>
      </c>
      <c r="R308" t="s">
        <v>33</v>
      </c>
      <c r="S308" s="2">
        <v>54.88</v>
      </c>
      <c r="T308" s="3">
        <v>3357.71</v>
      </c>
      <c r="U308" s="4">
        <v>45227</v>
      </c>
      <c r="V308" t="s">
        <v>25</v>
      </c>
      <c r="W308" t="s">
        <v>30</v>
      </c>
    </row>
    <row r="309" spans="1:23" x14ac:dyDescent="0.35">
      <c r="A309">
        <v>1308</v>
      </c>
      <c r="B309" t="s">
        <v>31</v>
      </c>
      <c r="C309" t="s">
        <v>25</v>
      </c>
      <c r="D309" t="s">
        <v>26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26</v>
      </c>
      <c r="L309" t="s">
        <v>25</v>
      </c>
      <c r="M309" t="s">
        <v>26</v>
      </c>
      <c r="N309" t="s">
        <v>25</v>
      </c>
      <c r="O309" t="s">
        <v>41</v>
      </c>
      <c r="P309" t="s">
        <v>26</v>
      </c>
      <c r="Q309">
        <v>48</v>
      </c>
      <c r="R309" t="s">
        <v>33</v>
      </c>
      <c r="S309" s="2">
        <v>51.42</v>
      </c>
      <c r="T309" s="3">
        <v>6090.3</v>
      </c>
      <c r="U309" s="4">
        <v>45087</v>
      </c>
      <c r="V309" t="s">
        <v>25</v>
      </c>
      <c r="W309" t="s">
        <v>50</v>
      </c>
    </row>
    <row r="310" spans="1:23" x14ac:dyDescent="0.35">
      <c r="A310">
        <v>1309</v>
      </c>
      <c r="B310" t="s">
        <v>31</v>
      </c>
      <c r="C310" t="s">
        <v>26</v>
      </c>
      <c r="D310" t="s">
        <v>25</v>
      </c>
      <c r="E310" t="s">
        <v>25</v>
      </c>
      <c r="F310" t="s">
        <v>26</v>
      </c>
      <c r="G310" t="s">
        <v>25</v>
      </c>
      <c r="H310" t="s">
        <v>35</v>
      </c>
      <c r="I310" t="s">
        <v>25</v>
      </c>
      <c r="J310" t="s">
        <v>26</v>
      </c>
      <c r="K310" t="s">
        <v>26</v>
      </c>
      <c r="L310" t="s">
        <v>25</v>
      </c>
      <c r="M310" t="s">
        <v>26</v>
      </c>
      <c r="N310" t="s">
        <v>26</v>
      </c>
      <c r="O310" t="s">
        <v>41</v>
      </c>
      <c r="P310" t="s">
        <v>26</v>
      </c>
      <c r="Q310">
        <v>66</v>
      </c>
      <c r="R310" t="s">
        <v>49</v>
      </c>
      <c r="S310" s="2">
        <v>66.11</v>
      </c>
      <c r="T310" s="3">
        <v>2224.16</v>
      </c>
      <c r="U310" s="4">
        <v>44252</v>
      </c>
      <c r="V310" t="s">
        <v>25</v>
      </c>
      <c r="W310" t="s">
        <v>30</v>
      </c>
    </row>
    <row r="311" spans="1:23" x14ac:dyDescent="0.35">
      <c r="A311">
        <v>1310</v>
      </c>
      <c r="B311" t="s">
        <v>31</v>
      </c>
      <c r="C311" t="s">
        <v>25</v>
      </c>
      <c r="D311" t="s">
        <v>26</v>
      </c>
      <c r="E311" t="s">
        <v>26</v>
      </c>
      <c r="F311" t="s">
        <v>26</v>
      </c>
      <c r="G311" t="s">
        <v>25</v>
      </c>
      <c r="H311" t="s">
        <v>27</v>
      </c>
      <c r="I311" t="s">
        <v>25</v>
      </c>
      <c r="J311" t="s">
        <v>25</v>
      </c>
      <c r="K311" t="s">
        <v>25</v>
      </c>
      <c r="L311" t="s">
        <v>25</v>
      </c>
      <c r="M311" t="s">
        <v>26</v>
      </c>
      <c r="N311" t="s">
        <v>26</v>
      </c>
      <c r="O311" t="s">
        <v>41</v>
      </c>
      <c r="P311" t="s">
        <v>26</v>
      </c>
      <c r="Q311">
        <v>56</v>
      </c>
      <c r="R311" t="s">
        <v>49</v>
      </c>
      <c r="S311" s="2">
        <f>T311/Q311</f>
        <v>23.488928571428573</v>
      </c>
      <c r="T311" s="3">
        <v>1315.38</v>
      </c>
      <c r="U311" s="4">
        <v>44010</v>
      </c>
      <c r="V311" t="s">
        <v>25</v>
      </c>
      <c r="W311" t="s">
        <v>30</v>
      </c>
    </row>
    <row r="312" spans="1:23" x14ac:dyDescent="0.35">
      <c r="A312">
        <v>1311</v>
      </c>
      <c r="B312" t="s">
        <v>34</v>
      </c>
      <c r="C312" t="s">
        <v>25</v>
      </c>
      <c r="D312" t="s">
        <v>25</v>
      </c>
      <c r="E312" t="s">
        <v>26</v>
      </c>
      <c r="F312" t="s">
        <v>26</v>
      </c>
      <c r="G312" t="s">
        <v>25</v>
      </c>
      <c r="H312" t="s">
        <v>35</v>
      </c>
      <c r="I312" t="s">
        <v>25</v>
      </c>
      <c r="J312" t="s">
        <v>26</v>
      </c>
      <c r="K312" t="s">
        <v>26</v>
      </c>
      <c r="L312" t="s">
        <v>25</v>
      </c>
      <c r="M312" t="s">
        <v>25</v>
      </c>
      <c r="N312" t="s">
        <v>26</v>
      </c>
      <c r="O312" t="s">
        <v>28</v>
      </c>
      <c r="P312" t="s">
        <v>26</v>
      </c>
      <c r="Q312">
        <v>43</v>
      </c>
      <c r="R312" t="s">
        <v>39</v>
      </c>
      <c r="S312" s="2">
        <v>110.06</v>
      </c>
      <c r="T312" s="3">
        <v>6001.46</v>
      </c>
      <c r="U312" s="4">
        <v>44640</v>
      </c>
      <c r="V312" t="s">
        <v>25</v>
      </c>
      <c r="W312" t="s">
        <v>30</v>
      </c>
    </row>
    <row r="313" spans="1:23" x14ac:dyDescent="0.35">
      <c r="A313">
        <v>1312</v>
      </c>
      <c r="B313" t="s">
        <v>34</v>
      </c>
      <c r="C313" t="s">
        <v>25</v>
      </c>
      <c r="D313" t="s">
        <v>25</v>
      </c>
      <c r="E313" t="s">
        <v>25</v>
      </c>
      <c r="F313" t="s">
        <v>26</v>
      </c>
      <c r="G313" t="s">
        <v>25</v>
      </c>
      <c r="H313" t="s">
        <v>35</v>
      </c>
      <c r="I313" t="s">
        <v>26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41</v>
      </c>
      <c r="P313" t="s">
        <v>25</v>
      </c>
      <c r="Q313">
        <v>26</v>
      </c>
      <c r="R313" t="s">
        <v>33</v>
      </c>
      <c r="S313" s="2">
        <v>44.69</v>
      </c>
      <c r="T313" s="3">
        <v>2730.02</v>
      </c>
      <c r="U313" s="4">
        <v>43945</v>
      </c>
      <c r="V313" t="s">
        <v>25</v>
      </c>
      <c r="W313" t="s">
        <v>30</v>
      </c>
    </row>
    <row r="314" spans="1:23" x14ac:dyDescent="0.35">
      <c r="A314">
        <v>1313</v>
      </c>
      <c r="B314" t="s">
        <v>31</v>
      </c>
      <c r="C314" t="s">
        <v>26</v>
      </c>
      <c r="D314" t="s">
        <v>25</v>
      </c>
      <c r="E314" t="s">
        <v>26</v>
      </c>
      <c r="F314" t="s">
        <v>26</v>
      </c>
      <c r="G314" t="s">
        <v>26</v>
      </c>
      <c r="H314" t="s">
        <v>27</v>
      </c>
      <c r="I314" t="s">
        <v>25</v>
      </c>
      <c r="J314" t="s">
        <v>25</v>
      </c>
      <c r="K314" t="s">
        <v>25</v>
      </c>
      <c r="L314" t="s">
        <v>26</v>
      </c>
      <c r="M314" t="s">
        <v>25</v>
      </c>
      <c r="N314" t="s">
        <v>25</v>
      </c>
      <c r="O314" t="s">
        <v>41</v>
      </c>
      <c r="P314" t="s">
        <v>25</v>
      </c>
      <c r="Q314">
        <v>32</v>
      </c>
      <c r="R314" t="s">
        <v>33</v>
      </c>
      <c r="S314" s="2">
        <v>59.98</v>
      </c>
      <c r="T314" s="3">
        <v>1219.3399999999999</v>
      </c>
      <c r="U314" s="4">
        <v>45600</v>
      </c>
      <c r="V314" t="s">
        <v>25</v>
      </c>
      <c r="W314" t="s">
        <v>30</v>
      </c>
    </row>
    <row r="315" spans="1:23" x14ac:dyDescent="0.35">
      <c r="A315">
        <v>1314</v>
      </c>
      <c r="B315" t="s">
        <v>31</v>
      </c>
      <c r="C315" t="s">
        <v>25</v>
      </c>
      <c r="D315" t="s">
        <v>25</v>
      </c>
      <c r="E315" t="s">
        <v>25</v>
      </c>
      <c r="F315" t="s">
        <v>26</v>
      </c>
      <c r="G315" t="s">
        <v>26</v>
      </c>
      <c r="H315" t="s">
        <v>27</v>
      </c>
      <c r="I315" t="s">
        <v>26</v>
      </c>
      <c r="J315" t="s">
        <v>26</v>
      </c>
      <c r="K315" t="s">
        <v>25</v>
      </c>
      <c r="L315" t="s">
        <v>25</v>
      </c>
      <c r="M315" t="s">
        <v>25</v>
      </c>
      <c r="N315" t="s">
        <v>25</v>
      </c>
      <c r="O315" t="s">
        <v>42</v>
      </c>
      <c r="P315" t="s">
        <v>26</v>
      </c>
      <c r="Q315">
        <v>35</v>
      </c>
      <c r="R315" t="s">
        <v>39</v>
      </c>
      <c r="S315" s="2">
        <v>112.2</v>
      </c>
      <c r="T315" s="3">
        <v>758.79</v>
      </c>
      <c r="U315" s="4">
        <v>45593</v>
      </c>
      <c r="V315" t="s">
        <v>25</v>
      </c>
      <c r="W315" t="s">
        <v>30</v>
      </c>
    </row>
    <row r="316" spans="1:23" x14ac:dyDescent="0.35">
      <c r="A316">
        <v>1315</v>
      </c>
      <c r="B316" t="s">
        <v>31</v>
      </c>
      <c r="C316" t="s">
        <v>25</v>
      </c>
      <c r="D316" t="s">
        <v>26</v>
      </c>
      <c r="E316" t="s">
        <v>25</v>
      </c>
      <c r="F316" t="s">
        <v>26</v>
      </c>
      <c r="G316" t="s">
        <v>25</v>
      </c>
      <c r="H316" t="s">
        <v>35</v>
      </c>
      <c r="I316" t="s">
        <v>25</v>
      </c>
      <c r="J316" t="s">
        <v>25</v>
      </c>
      <c r="K316" t="s">
        <v>26</v>
      </c>
      <c r="L316" t="s">
        <v>25</v>
      </c>
      <c r="M316" t="s">
        <v>26</v>
      </c>
      <c r="N316" t="s">
        <v>26</v>
      </c>
      <c r="O316" t="s">
        <v>41</v>
      </c>
      <c r="P316" t="s">
        <v>25</v>
      </c>
      <c r="Q316">
        <v>7</v>
      </c>
      <c r="R316" t="s">
        <v>39</v>
      </c>
      <c r="S316" s="2">
        <v>71.97</v>
      </c>
      <c r="T316" s="3">
        <v>7461.59</v>
      </c>
      <c r="U316" s="4">
        <v>44831</v>
      </c>
      <c r="V316" t="s">
        <v>25</v>
      </c>
      <c r="W316" t="s">
        <v>30</v>
      </c>
    </row>
    <row r="317" spans="1:23" x14ac:dyDescent="0.35">
      <c r="A317">
        <v>1316</v>
      </c>
      <c r="B317" t="s">
        <v>34</v>
      </c>
      <c r="C317" t="s">
        <v>26</v>
      </c>
      <c r="D317" t="s">
        <v>25</v>
      </c>
      <c r="E317" t="s">
        <v>25</v>
      </c>
      <c r="F317" t="s">
        <v>26</v>
      </c>
      <c r="G317" t="s">
        <v>25</v>
      </c>
      <c r="H317" t="s">
        <v>27</v>
      </c>
      <c r="I317" t="s">
        <v>25</v>
      </c>
      <c r="J317" t="s">
        <v>26</v>
      </c>
      <c r="K317" t="s">
        <v>26</v>
      </c>
      <c r="L317" t="s">
        <v>25</v>
      </c>
      <c r="M317" t="s">
        <v>25</v>
      </c>
      <c r="N317" t="s">
        <v>26</v>
      </c>
      <c r="O317" t="s">
        <v>41</v>
      </c>
      <c r="P317" t="s">
        <v>25</v>
      </c>
      <c r="Q317">
        <v>62</v>
      </c>
      <c r="R317" t="s">
        <v>49</v>
      </c>
      <c r="S317" s="2">
        <v>61.46</v>
      </c>
      <c r="T317" s="3">
        <v>6325.7</v>
      </c>
      <c r="U317" s="4">
        <v>44319</v>
      </c>
      <c r="V317" t="s">
        <v>25</v>
      </c>
      <c r="W317" t="s">
        <v>30</v>
      </c>
    </row>
    <row r="318" spans="1:23" x14ac:dyDescent="0.35">
      <c r="A318">
        <v>1317</v>
      </c>
      <c r="B318" t="s">
        <v>31</v>
      </c>
      <c r="C318" t="s">
        <v>25</v>
      </c>
      <c r="D318" t="s">
        <v>26</v>
      </c>
      <c r="E318" t="s">
        <v>25</v>
      </c>
      <c r="F318" t="s">
        <v>25</v>
      </c>
      <c r="G318" t="s">
        <v>26</v>
      </c>
      <c r="H318" t="s">
        <v>35</v>
      </c>
      <c r="I318" t="s">
        <v>26</v>
      </c>
      <c r="J318" t="s">
        <v>25</v>
      </c>
      <c r="K318" t="s">
        <v>26</v>
      </c>
      <c r="L318" t="s">
        <v>25</v>
      </c>
      <c r="M318" t="s">
        <v>25</v>
      </c>
      <c r="N318" t="s">
        <v>25</v>
      </c>
      <c r="O318" t="s">
        <v>41</v>
      </c>
      <c r="P318" t="s">
        <v>26</v>
      </c>
      <c r="Q318">
        <v>44</v>
      </c>
      <c r="R318" t="s">
        <v>39</v>
      </c>
      <c r="S318" s="2">
        <v>89.07</v>
      </c>
      <c r="T318" s="3">
        <v>3042.13</v>
      </c>
      <c r="U318" s="4">
        <v>44097</v>
      </c>
      <c r="V318" t="s">
        <v>25</v>
      </c>
      <c r="W318" t="s">
        <v>30</v>
      </c>
    </row>
    <row r="319" spans="1:23" x14ac:dyDescent="0.35">
      <c r="A319">
        <v>1318</v>
      </c>
      <c r="B319" t="s">
        <v>34</v>
      </c>
      <c r="C319" t="s">
        <v>25</v>
      </c>
      <c r="D319" t="s">
        <v>25</v>
      </c>
      <c r="E319" t="s">
        <v>25</v>
      </c>
      <c r="F319" t="s">
        <v>26</v>
      </c>
      <c r="G319" t="s">
        <v>25</v>
      </c>
      <c r="H319" t="s">
        <v>27</v>
      </c>
      <c r="I319" t="s">
        <v>25</v>
      </c>
      <c r="J319" t="s">
        <v>26</v>
      </c>
      <c r="K319" t="s">
        <v>26</v>
      </c>
      <c r="L319" t="s">
        <v>25</v>
      </c>
      <c r="M319" t="s">
        <v>25</v>
      </c>
      <c r="N319" t="s">
        <v>25</v>
      </c>
      <c r="O319" t="s">
        <v>41</v>
      </c>
      <c r="P319" t="s">
        <v>26</v>
      </c>
      <c r="Q319">
        <v>65</v>
      </c>
      <c r="R319" t="s">
        <v>29</v>
      </c>
      <c r="S319" s="2">
        <v>59.6</v>
      </c>
      <c r="T319" s="3">
        <v>666.27</v>
      </c>
      <c r="U319" s="4">
        <v>44904</v>
      </c>
      <c r="V319" t="s">
        <v>25</v>
      </c>
      <c r="W319" t="s">
        <v>30</v>
      </c>
    </row>
    <row r="320" spans="1:23" x14ac:dyDescent="0.35">
      <c r="A320">
        <v>1319</v>
      </c>
      <c r="B320" t="s">
        <v>34</v>
      </c>
      <c r="C320" t="s">
        <v>25</v>
      </c>
      <c r="D320" t="s">
        <v>26</v>
      </c>
      <c r="E320" t="s">
        <v>26</v>
      </c>
      <c r="F320" t="s">
        <v>26</v>
      </c>
      <c r="G320" t="s">
        <v>26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26</v>
      </c>
      <c r="N320" t="s">
        <v>25</v>
      </c>
      <c r="O320" t="s">
        <v>41</v>
      </c>
      <c r="P320" t="s">
        <v>25</v>
      </c>
      <c r="Q320">
        <v>21</v>
      </c>
      <c r="R320" t="s">
        <v>39</v>
      </c>
      <c r="S320" s="2">
        <v>42.93</v>
      </c>
      <c r="T320" s="3">
        <v>909.8</v>
      </c>
      <c r="U320" s="4">
        <v>45260</v>
      </c>
      <c r="V320" t="s">
        <v>25</v>
      </c>
      <c r="W320" t="s">
        <v>30</v>
      </c>
    </row>
    <row r="321" spans="1:23" x14ac:dyDescent="0.35">
      <c r="A321">
        <v>1320</v>
      </c>
      <c r="B321" t="s">
        <v>0</v>
      </c>
      <c r="C321" t="s">
        <v>25</v>
      </c>
      <c r="D321" t="s">
        <v>26</v>
      </c>
      <c r="E321" t="s">
        <v>26</v>
      </c>
      <c r="F321" t="s">
        <v>26</v>
      </c>
      <c r="G321" t="s">
        <v>26</v>
      </c>
      <c r="H321" t="s">
        <v>27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26</v>
      </c>
      <c r="O321" t="s">
        <v>41</v>
      </c>
      <c r="P321" t="s">
        <v>26</v>
      </c>
      <c r="Q321">
        <v>45</v>
      </c>
      <c r="R321" t="s">
        <v>39</v>
      </c>
      <c r="S321" s="2">
        <v>115.49</v>
      </c>
      <c r="T321" s="3">
        <v>0</v>
      </c>
      <c r="U321" s="4">
        <v>44999</v>
      </c>
      <c r="V321" t="s">
        <v>25</v>
      </c>
      <c r="W321" t="s">
        <v>30</v>
      </c>
    </row>
    <row r="322" spans="1:23" x14ac:dyDescent="0.35">
      <c r="A322">
        <v>1321</v>
      </c>
      <c r="B322" t="s">
        <v>31</v>
      </c>
      <c r="C322" t="s">
        <v>25</v>
      </c>
      <c r="D322" t="s">
        <v>25</v>
      </c>
      <c r="E322" t="s">
        <v>25</v>
      </c>
      <c r="F322" t="s">
        <v>26</v>
      </c>
      <c r="G322" t="s">
        <v>25</v>
      </c>
      <c r="H322" t="s">
        <v>35</v>
      </c>
      <c r="I322" t="s">
        <v>26</v>
      </c>
      <c r="J322" t="s">
        <v>26</v>
      </c>
      <c r="K322" t="s">
        <v>25</v>
      </c>
      <c r="L322" t="s">
        <v>25</v>
      </c>
      <c r="M322" t="s">
        <v>25</v>
      </c>
      <c r="N322" t="s">
        <v>25</v>
      </c>
      <c r="O322" t="s">
        <v>42</v>
      </c>
      <c r="P322" t="s">
        <v>25</v>
      </c>
      <c r="Q322">
        <v>41</v>
      </c>
      <c r="R322" t="s">
        <v>49</v>
      </c>
      <c r="S322" s="2">
        <v>111.65</v>
      </c>
      <c r="T322" s="3">
        <v>2909.66</v>
      </c>
      <c r="U322" s="4">
        <v>44698</v>
      </c>
      <c r="V322" t="s">
        <v>26</v>
      </c>
      <c r="W322" t="s">
        <v>50</v>
      </c>
    </row>
    <row r="323" spans="1:23" x14ac:dyDescent="0.35">
      <c r="A323">
        <v>1322</v>
      </c>
      <c r="B323" t="s">
        <v>31</v>
      </c>
      <c r="C323" t="s">
        <v>25</v>
      </c>
      <c r="D323" t="s">
        <v>26</v>
      </c>
      <c r="E323" t="s">
        <v>25</v>
      </c>
      <c r="F323" t="s">
        <v>26</v>
      </c>
      <c r="G323" t="s">
        <v>25</v>
      </c>
      <c r="H323" t="s">
        <v>27</v>
      </c>
      <c r="I323" t="s">
        <v>25</v>
      </c>
      <c r="J323" t="s">
        <v>25</v>
      </c>
      <c r="K323" t="s">
        <v>26</v>
      </c>
      <c r="L323" t="s">
        <v>25</v>
      </c>
      <c r="M323" t="s">
        <v>25</v>
      </c>
      <c r="N323" t="s">
        <v>26</v>
      </c>
      <c r="O323" t="s">
        <v>28</v>
      </c>
      <c r="P323" t="s">
        <v>25</v>
      </c>
      <c r="Q323">
        <v>42</v>
      </c>
      <c r="R323" t="s">
        <v>39</v>
      </c>
      <c r="S323" s="2">
        <f>T323/Q323</f>
        <v>69.589047619047619</v>
      </c>
      <c r="T323" s="3">
        <v>2922.74</v>
      </c>
      <c r="U323" s="4">
        <v>45106</v>
      </c>
      <c r="V323" t="s">
        <v>25</v>
      </c>
      <c r="W323" t="s">
        <v>30</v>
      </c>
    </row>
    <row r="324" spans="1:23" x14ac:dyDescent="0.35">
      <c r="A324">
        <v>1323</v>
      </c>
      <c r="B324" t="s">
        <v>31</v>
      </c>
      <c r="C324" t="s">
        <v>25</v>
      </c>
      <c r="D324" t="s">
        <v>26</v>
      </c>
      <c r="E324" t="s">
        <v>25</v>
      </c>
      <c r="F324" t="s">
        <v>26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26</v>
      </c>
      <c r="M324" t="s">
        <v>25</v>
      </c>
      <c r="N324" t="s">
        <v>25</v>
      </c>
      <c r="O324" t="s">
        <v>28</v>
      </c>
      <c r="P324" t="s">
        <v>26</v>
      </c>
      <c r="Q324">
        <v>44</v>
      </c>
      <c r="R324" t="s">
        <v>39</v>
      </c>
      <c r="S324" s="2">
        <v>59.45</v>
      </c>
      <c r="T324" s="3">
        <v>2429.06</v>
      </c>
      <c r="U324" s="4">
        <v>44659</v>
      </c>
      <c r="V324" t="s">
        <v>25</v>
      </c>
      <c r="W324" t="s">
        <v>30</v>
      </c>
    </row>
    <row r="325" spans="1:23" x14ac:dyDescent="0.35">
      <c r="A325">
        <v>1325</v>
      </c>
      <c r="B325" t="s">
        <v>31</v>
      </c>
      <c r="C325" s="1" t="s">
        <v>25</v>
      </c>
      <c r="D325" t="s">
        <v>25</v>
      </c>
      <c r="E325" t="s">
        <v>26</v>
      </c>
      <c r="F325" t="s">
        <v>26</v>
      </c>
      <c r="G325" t="s">
        <v>26</v>
      </c>
      <c r="H325" t="s">
        <v>27</v>
      </c>
      <c r="I325" t="s">
        <v>26</v>
      </c>
      <c r="J325" t="s">
        <v>26</v>
      </c>
      <c r="K325" t="s">
        <v>26</v>
      </c>
      <c r="L325" t="s">
        <v>25</v>
      </c>
      <c r="M325" t="s">
        <v>25</v>
      </c>
      <c r="N325" t="s">
        <v>25</v>
      </c>
      <c r="O325" t="s">
        <v>28</v>
      </c>
      <c r="P325" t="s">
        <v>26</v>
      </c>
      <c r="Q325">
        <v>33</v>
      </c>
      <c r="R325" t="s">
        <v>29</v>
      </c>
      <c r="S325" s="2">
        <v>69.731294014821103</v>
      </c>
      <c r="T325" s="3">
        <v>3451.2616641872</v>
      </c>
      <c r="U325" s="4">
        <v>44673.5391419726</v>
      </c>
      <c r="V325" t="s">
        <v>25</v>
      </c>
      <c r="W325" t="s">
        <v>30</v>
      </c>
    </row>
    <row r="326" spans="1:23" x14ac:dyDescent="0.35">
      <c r="A326">
        <v>1326</v>
      </c>
      <c r="B326" t="s">
        <v>31</v>
      </c>
      <c r="C326" s="1" t="s">
        <v>25</v>
      </c>
      <c r="D326" t="s">
        <v>26</v>
      </c>
      <c r="E326" t="s">
        <v>25</v>
      </c>
      <c r="F326" t="s">
        <v>26</v>
      </c>
      <c r="G326" t="s">
        <v>26</v>
      </c>
      <c r="H326" t="s">
        <v>27</v>
      </c>
      <c r="I326" t="s">
        <v>26</v>
      </c>
      <c r="J326" t="s">
        <v>26</v>
      </c>
      <c r="K326" t="s">
        <v>26</v>
      </c>
      <c r="L326" t="s">
        <v>26</v>
      </c>
      <c r="M326" t="s">
        <v>25</v>
      </c>
      <c r="N326" t="s">
        <v>25</v>
      </c>
      <c r="O326" t="s">
        <v>41</v>
      </c>
      <c r="P326" t="s">
        <v>26</v>
      </c>
      <c r="Q326">
        <v>33</v>
      </c>
      <c r="R326" t="s">
        <v>33</v>
      </c>
      <c r="S326" s="2">
        <v>69.709885740039297</v>
      </c>
      <c r="T326" s="3">
        <v>3448.7893275574302</v>
      </c>
      <c r="U326" s="4">
        <v>44673.338919193397</v>
      </c>
      <c r="V326" t="s">
        <v>25</v>
      </c>
      <c r="W326" t="s">
        <v>30</v>
      </c>
    </row>
    <row r="327" spans="1:23" x14ac:dyDescent="0.35">
      <c r="A327">
        <v>1327</v>
      </c>
      <c r="B327" t="s">
        <v>34</v>
      </c>
      <c r="C327" s="1" t="s">
        <v>25</v>
      </c>
      <c r="D327" t="s">
        <v>26</v>
      </c>
      <c r="E327" t="s">
        <v>26</v>
      </c>
      <c r="F327" t="s">
        <v>26</v>
      </c>
      <c r="G327" t="s">
        <v>26</v>
      </c>
      <c r="H327" t="s">
        <v>35</v>
      </c>
      <c r="I327" t="s">
        <v>25</v>
      </c>
      <c r="J327" t="s">
        <v>26</v>
      </c>
      <c r="K327" t="s">
        <v>25</v>
      </c>
      <c r="L327" t="s">
        <v>25</v>
      </c>
      <c r="M327" t="s">
        <v>25</v>
      </c>
      <c r="N327" t="s">
        <v>26</v>
      </c>
      <c r="O327" t="s">
        <v>41</v>
      </c>
      <c r="P327" t="s">
        <v>26</v>
      </c>
      <c r="Q327">
        <v>33</v>
      </c>
      <c r="R327" t="s">
        <v>29</v>
      </c>
      <c r="S327" s="2">
        <v>69.688477465257606</v>
      </c>
      <c r="T327" s="3">
        <v>3446.3169909276498</v>
      </c>
      <c r="U327" s="4">
        <v>44673.1386964142</v>
      </c>
      <c r="V327" t="s">
        <v>25</v>
      </c>
      <c r="W327" t="s">
        <v>30</v>
      </c>
    </row>
    <row r="328" spans="1:23" x14ac:dyDescent="0.35">
      <c r="A328">
        <v>1328</v>
      </c>
      <c r="B328" t="s">
        <v>31</v>
      </c>
      <c r="C328" s="1" t="s">
        <v>26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26</v>
      </c>
      <c r="N328" t="s">
        <v>26</v>
      </c>
      <c r="O328" t="s">
        <v>41</v>
      </c>
      <c r="P328" t="s">
        <v>25</v>
      </c>
      <c r="Q328">
        <v>33</v>
      </c>
      <c r="R328" t="s">
        <v>39</v>
      </c>
      <c r="S328" s="2">
        <v>69.6670691904758</v>
      </c>
      <c r="T328" s="3">
        <v>3443.84465429788</v>
      </c>
      <c r="U328" s="4">
        <v>44672.938473635098</v>
      </c>
      <c r="V328" t="s">
        <v>25</v>
      </c>
      <c r="W328" t="s">
        <v>30</v>
      </c>
    </row>
    <row r="329" spans="1:23" x14ac:dyDescent="0.35">
      <c r="A329">
        <v>1329</v>
      </c>
      <c r="B329" t="s">
        <v>34</v>
      </c>
      <c r="C329" s="1" t="s">
        <v>26</v>
      </c>
      <c r="D329" t="s">
        <v>25</v>
      </c>
      <c r="E329" t="s">
        <v>26</v>
      </c>
      <c r="F329" t="s">
        <v>26</v>
      </c>
      <c r="G329" t="s">
        <v>26</v>
      </c>
      <c r="H329" t="s">
        <v>27</v>
      </c>
      <c r="I329" t="s">
        <v>25</v>
      </c>
      <c r="J329" t="s">
        <v>26</v>
      </c>
      <c r="K329" t="s">
        <v>25</v>
      </c>
      <c r="L329" t="s">
        <v>25</v>
      </c>
      <c r="M329" t="s">
        <v>25</v>
      </c>
      <c r="N329" t="s">
        <v>26</v>
      </c>
      <c r="O329" t="s">
        <v>41</v>
      </c>
      <c r="P329" t="s">
        <v>25</v>
      </c>
      <c r="Q329">
        <v>33</v>
      </c>
      <c r="R329" t="s">
        <v>39</v>
      </c>
      <c r="S329" s="2">
        <v>69.645660915694094</v>
      </c>
      <c r="T329" s="3">
        <v>3441.3723176681001</v>
      </c>
      <c r="U329" s="4">
        <v>44672.738250855902</v>
      </c>
      <c r="V329" t="s">
        <v>25</v>
      </c>
      <c r="W329" t="s">
        <v>30</v>
      </c>
    </row>
    <row r="330" spans="1:23" x14ac:dyDescent="0.35">
      <c r="A330">
        <v>1330</v>
      </c>
      <c r="B330" t="s">
        <v>31</v>
      </c>
      <c r="C330" s="1" t="s">
        <v>26</v>
      </c>
      <c r="D330" t="s">
        <v>25</v>
      </c>
      <c r="E330" t="s">
        <v>25</v>
      </c>
      <c r="F330" t="s">
        <v>26</v>
      </c>
      <c r="G330" t="s">
        <v>25</v>
      </c>
      <c r="H330" t="s">
        <v>27</v>
      </c>
      <c r="I330" t="s">
        <v>26</v>
      </c>
      <c r="J330" t="s">
        <v>26</v>
      </c>
      <c r="K330" t="s">
        <v>26</v>
      </c>
      <c r="L330" t="s">
        <v>26</v>
      </c>
      <c r="M330" t="s">
        <v>25</v>
      </c>
      <c r="N330" t="s">
        <v>25</v>
      </c>
      <c r="O330" t="s">
        <v>41</v>
      </c>
      <c r="P330" t="s">
        <v>26</v>
      </c>
      <c r="Q330">
        <v>33</v>
      </c>
      <c r="R330" t="s">
        <v>33</v>
      </c>
      <c r="S330" s="2">
        <v>69.624252640912303</v>
      </c>
      <c r="T330" s="3">
        <v>3438.8999810383302</v>
      </c>
      <c r="U330" s="4">
        <v>44672.538028076699</v>
      </c>
      <c r="V330" t="s">
        <v>25</v>
      </c>
      <c r="W330" t="s">
        <v>30</v>
      </c>
    </row>
    <row r="331" spans="1:23" x14ac:dyDescent="0.35">
      <c r="A331">
        <v>1331</v>
      </c>
      <c r="B331" t="s">
        <v>31</v>
      </c>
      <c r="C331" t="s">
        <v>26</v>
      </c>
      <c r="D331" t="s">
        <v>25</v>
      </c>
      <c r="E331" t="s">
        <v>26</v>
      </c>
      <c r="F331" t="s">
        <v>25</v>
      </c>
      <c r="G331" t="s">
        <v>26</v>
      </c>
      <c r="H331" t="s">
        <v>27</v>
      </c>
      <c r="I331" t="s">
        <v>25</v>
      </c>
      <c r="J331" t="s">
        <v>25</v>
      </c>
      <c r="K331" t="s">
        <v>25</v>
      </c>
      <c r="L331" t="s">
        <v>26</v>
      </c>
      <c r="M331" t="s">
        <v>26</v>
      </c>
      <c r="N331" t="s">
        <v>25</v>
      </c>
      <c r="O331" t="s">
        <v>42</v>
      </c>
      <c r="P331" t="s">
        <v>26</v>
      </c>
      <c r="Q331">
        <v>33</v>
      </c>
      <c r="R331" t="s">
        <v>39</v>
      </c>
      <c r="S331" s="2">
        <v>69.602844366130498</v>
      </c>
      <c r="T331" s="3">
        <v>3436.4276444085499</v>
      </c>
      <c r="U331" s="4">
        <v>44672.337805297597</v>
      </c>
      <c r="V331" t="s">
        <v>25</v>
      </c>
      <c r="W331" t="s">
        <v>30</v>
      </c>
    </row>
    <row r="332" spans="1:23" x14ac:dyDescent="0.35">
      <c r="A332">
        <v>1332</v>
      </c>
      <c r="B332" t="s">
        <v>31</v>
      </c>
      <c r="C332" t="s">
        <v>26</v>
      </c>
      <c r="D332" t="s">
        <v>25</v>
      </c>
      <c r="E332" t="s">
        <v>25</v>
      </c>
      <c r="F332" t="s">
        <v>26</v>
      </c>
      <c r="G332" t="s">
        <v>25</v>
      </c>
      <c r="H332" t="s">
        <v>27</v>
      </c>
      <c r="I332" t="s">
        <v>26</v>
      </c>
      <c r="J332" t="s">
        <v>25</v>
      </c>
      <c r="K332" t="s">
        <v>26</v>
      </c>
      <c r="L332" t="s">
        <v>25</v>
      </c>
      <c r="M332" t="s">
        <v>25</v>
      </c>
      <c r="N332" t="s">
        <v>26</v>
      </c>
      <c r="O332" t="s">
        <v>28</v>
      </c>
      <c r="P332" t="s">
        <v>26</v>
      </c>
      <c r="Q332">
        <v>33</v>
      </c>
      <c r="R332" t="s">
        <v>39</v>
      </c>
      <c r="S332" s="2">
        <v>69.581436091348806</v>
      </c>
      <c r="T332" s="3">
        <v>3433.95530777878</v>
      </c>
      <c r="U332" s="4">
        <v>44672.1375825184</v>
      </c>
      <c r="V332" t="s">
        <v>25</v>
      </c>
      <c r="W332" t="s">
        <v>30</v>
      </c>
    </row>
    <row r="333" spans="1:23" x14ac:dyDescent="0.35">
      <c r="A333">
        <v>1333</v>
      </c>
      <c r="B333" t="s">
        <v>31</v>
      </c>
      <c r="C333" s="1" t="s">
        <v>25</v>
      </c>
      <c r="D333" t="s">
        <v>26</v>
      </c>
      <c r="E333" t="s">
        <v>25</v>
      </c>
      <c r="F333" t="s">
        <v>26</v>
      </c>
      <c r="G333" t="s">
        <v>25</v>
      </c>
      <c r="H333" t="s">
        <v>27</v>
      </c>
      <c r="I333" t="s">
        <v>25</v>
      </c>
      <c r="J333" t="s">
        <v>26</v>
      </c>
      <c r="K333" t="s">
        <v>25</v>
      </c>
      <c r="L333" t="s">
        <v>25</v>
      </c>
      <c r="M333" t="s">
        <v>25</v>
      </c>
      <c r="N333" t="s">
        <v>26</v>
      </c>
      <c r="O333" t="s">
        <v>45</v>
      </c>
      <c r="P333" t="s">
        <v>26</v>
      </c>
      <c r="Q333">
        <v>33</v>
      </c>
      <c r="R333" t="s">
        <v>33</v>
      </c>
      <c r="S333" s="2">
        <v>69.560027816567001</v>
      </c>
      <c r="T333" s="3">
        <v>3431.4829711490002</v>
      </c>
      <c r="U333" s="4">
        <v>44671.937359739197</v>
      </c>
      <c r="V333" t="s">
        <v>25</v>
      </c>
      <c r="W333" t="s">
        <v>30</v>
      </c>
    </row>
    <row r="334" spans="1:23" x14ac:dyDescent="0.35">
      <c r="A334">
        <v>1334</v>
      </c>
      <c r="B334" t="s">
        <v>34</v>
      </c>
      <c r="C334" s="1" t="s">
        <v>25</v>
      </c>
      <c r="D334" t="s">
        <v>25</v>
      </c>
      <c r="E334" t="s">
        <v>26</v>
      </c>
      <c r="F334" t="s">
        <v>26</v>
      </c>
      <c r="G334" t="s">
        <v>26</v>
      </c>
      <c r="H334" t="s">
        <v>27</v>
      </c>
      <c r="I334" t="s">
        <v>26</v>
      </c>
      <c r="J334" t="s">
        <v>25</v>
      </c>
      <c r="K334" t="s">
        <v>25</v>
      </c>
      <c r="L334" t="s">
        <v>26</v>
      </c>
      <c r="M334" t="s">
        <v>26</v>
      </c>
      <c r="N334" t="s">
        <v>26</v>
      </c>
      <c r="O334" t="s">
        <v>28</v>
      </c>
      <c r="P334" t="s">
        <v>25</v>
      </c>
      <c r="Q334">
        <v>33</v>
      </c>
      <c r="R334" t="s">
        <v>39</v>
      </c>
      <c r="S334" s="2">
        <v>69.538619541785295</v>
      </c>
      <c r="T334" s="3">
        <v>3429.0106345192298</v>
      </c>
      <c r="U334" s="4">
        <v>44671.737136960102</v>
      </c>
      <c r="V334" t="s">
        <v>25</v>
      </c>
      <c r="W334" t="s">
        <v>30</v>
      </c>
    </row>
    <row r="335" spans="1:23" x14ac:dyDescent="0.35">
      <c r="A335">
        <v>1335</v>
      </c>
      <c r="B335" t="s">
        <v>31</v>
      </c>
      <c r="C335" s="1" t="s">
        <v>25</v>
      </c>
      <c r="D335" t="s">
        <v>26</v>
      </c>
      <c r="E335" t="s">
        <v>26</v>
      </c>
      <c r="F335" t="s">
        <v>26</v>
      </c>
      <c r="G335" t="s">
        <v>25</v>
      </c>
      <c r="H335" t="s">
        <v>27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41</v>
      </c>
      <c r="P335" t="s">
        <v>26</v>
      </c>
      <c r="Q335">
        <v>33</v>
      </c>
      <c r="R335" t="s">
        <v>29</v>
      </c>
      <c r="S335" s="2">
        <v>69.517211267003503</v>
      </c>
      <c r="T335" s="3">
        <v>3426.53829788946</v>
      </c>
      <c r="U335" s="4">
        <v>44671.536914180899</v>
      </c>
      <c r="V335" t="s">
        <v>25</v>
      </c>
      <c r="W335" t="s">
        <v>30</v>
      </c>
    </row>
    <row r="336" spans="1:23" x14ac:dyDescent="0.35">
      <c r="A336">
        <v>1336</v>
      </c>
      <c r="B336" t="s">
        <v>31</v>
      </c>
      <c r="C336" s="1" t="s">
        <v>25</v>
      </c>
      <c r="D336" t="s">
        <v>25</v>
      </c>
      <c r="E336" t="s">
        <v>25</v>
      </c>
      <c r="F336" t="s">
        <v>26</v>
      </c>
      <c r="G336" t="s">
        <v>26</v>
      </c>
      <c r="H336" t="s">
        <v>27</v>
      </c>
      <c r="I336" t="s">
        <v>25</v>
      </c>
      <c r="J336" t="s">
        <v>25</v>
      </c>
      <c r="K336" t="s">
        <v>25</v>
      </c>
      <c r="L336" t="s">
        <v>26</v>
      </c>
      <c r="M336" t="s">
        <v>26</v>
      </c>
      <c r="N336" t="s">
        <v>25</v>
      </c>
      <c r="O336" t="s">
        <v>28</v>
      </c>
      <c r="P336" t="s">
        <v>26</v>
      </c>
      <c r="Q336">
        <v>33</v>
      </c>
      <c r="R336" t="s">
        <v>33</v>
      </c>
      <c r="S336" s="2">
        <v>69.495802992221797</v>
      </c>
      <c r="T336" s="3">
        <v>3424.0659612596801</v>
      </c>
      <c r="U336" s="4">
        <v>44671.336691401702</v>
      </c>
      <c r="V336" t="s">
        <v>25</v>
      </c>
      <c r="W336" t="s">
        <v>30</v>
      </c>
    </row>
    <row r="337" spans="1:23" x14ac:dyDescent="0.35">
      <c r="A337">
        <v>1337</v>
      </c>
      <c r="B337" t="s">
        <v>34</v>
      </c>
      <c r="C337" s="1" t="s">
        <v>25</v>
      </c>
      <c r="D337" t="s">
        <v>25</v>
      </c>
      <c r="E337" t="s">
        <v>25</v>
      </c>
      <c r="F337" t="s">
        <v>26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28</v>
      </c>
      <c r="P337" t="s">
        <v>25</v>
      </c>
      <c r="Q337">
        <v>33</v>
      </c>
      <c r="R337" t="s">
        <v>29</v>
      </c>
      <c r="S337" s="2">
        <v>69.474394717440006</v>
      </c>
      <c r="T337" s="3">
        <v>3421.5936246299102</v>
      </c>
      <c r="U337" s="4">
        <v>44671.136468622499</v>
      </c>
      <c r="V337" t="s">
        <v>26</v>
      </c>
      <c r="W337" t="s">
        <v>30</v>
      </c>
    </row>
    <row r="338" spans="1:23" x14ac:dyDescent="0.35">
      <c r="A338">
        <v>1338</v>
      </c>
      <c r="B338" t="s">
        <v>34</v>
      </c>
      <c r="C338" s="1" t="s">
        <v>25</v>
      </c>
      <c r="D338" t="s">
        <v>26</v>
      </c>
      <c r="E338" t="s">
        <v>25</v>
      </c>
      <c r="F338" t="s">
        <v>26</v>
      </c>
      <c r="G338" t="s">
        <v>25</v>
      </c>
      <c r="H338" t="s">
        <v>35</v>
      </c>
      <c r="I338" t="s">
        <v>25</v>
      </c>
      <c r="J338" t="s">
        <v>26</v>
      </c>
      <c r="K338" t="s">
        <v>26</v>
      </c>
      <c r="L338" t="s">
        <v>25</v>
      </c>
      <c r="M338" t="s">
        <v>26</v>
      </c>
      <c r="N338" t="s">
        <v>26</v>
      </c>
      <c r="O338" t="s">
        <v>45</v>
      </c>
      <c r="P338" t="s">
        <v>25</v>
      </c>
      <c r="Q338">
        <v>33</v>
      </c>
      <c r="R338" t="s">
        <v>39</v>
      </c>
      <c r="S338" s="2">
        <v>69.4529864426583</v>
      </c>
      <c r="T338" s="3">
        <v>3419.1212880001299</v>
      </c>
      <c r="U338" s="4">
        <v>44670.936245843397</v>
      </c>
      <c r="V338" t="s">
        <v>25</v>
      </c>
      <c r="W338" t="s">
        <v>30</v>
      </c>
    </row>
    <row r="339" spans="1:23" x14ac:dyDescent="0.35">
      <c r="A339">
        <v>1339</v>
      </c>
      <c r="B339" t="s">
        <v>31</v>
      </c>
      <c r="C339" s="1" t="s">
        <v>25</v>
      </c>
      <c r="D339" t="s">
        <v>26</v>
      </c>
      <c r="E339" t="s">
        <v>26</v>
      </c>
      <c r="F339" t="s">
        <v>25</v>
      </c>
      <c r="G339" t="s">
        <v>25</v>
      </c>
      <c r="H339" t="s">
        <v>35</v>
      </c>
      <c r="I339" t="s">
        <v>25</v>
      </c>
      <c r="J339" t="s">
        <v>25</v>
      </c>
      <c r="K339" t="s">
        <v>26</v>
      </c>
      <c r="L339" t="s">
        <v>25</v>
      </c>
      <c r="M339" t="s">
        <v>25</v>
      </c>
      <c r="N339" t="s">
        <v>25</v>
      </c>
      <c r="O339" t="s">
        <v>48</v>
      </c>
      <c r="P339" t="s">
        <v>26</v>
      </c>
      <c r="Q339">
        <v>33</v>
      </c>
      <c r="R339" t="s">
        <v>39</v>
      </c>
      <c r="S339" s="2">
        <v>69.431578167876495</v>
      </c>
      <c r="T339" s="3">
        <v>3416.64895137036</v>
      </c>
      <c r="U339" s="4">
        <v>44670.736023064201</v>
      </c>
      <c r="V339" t="s">
        <v>25</v>
      </c>
      <c r="W339" t="s">
        <v>30</v>
      </c>
    </row>
    <row r="340" spans="1:23" x14ac:dyDescent="0.35">
      <c r="A340">
        <v>1340</v>
      </c>
      <c r="B340" t="s">
        <v>34</v>
      </c>
      <c r="C340" s="1" t="s">
        <v>25</v>
      </c>
      <c r="D340" t="s">
        <v>25</v>
      </c>
      <c r="E340" t="s">
        <v>25</v>
      </c>
      <c r="F340" t="s">
        <v>26</v>
      </c>
      <c r="G340" t="s">
        <v>25</v>
      </c>
      <c r="H340" t="s">
        <v>27</v>
      </c>
      <c r="I340" t="s">
        <v>26</v>
      </c>
      <c r="J340" t="s">
        <v>25</v>
      </c>
      <c r="K340" t="s">
        <v>26</v>
      </c>
      <c r="L340" t="s">
        <v>25</v>
      </c>
      <c r="M340" t="s">
        <v>26</v>
      </c>
      <c r="N340" t="s">
        <v>25</v>
      </c>
      <c r="O340" t="s">
        <v>28</v>
      </c>
      <c r="P340" t="s">
        <v>25</v>
      </c>
      <c r="Q340">
        <v>33</v>
      </c>
      <c r="R340" t="s">
        <v>49</v>
      </c>
      <c r="S340" s="2">
        <v>69.410169893094803</v>
      </c>
      <c r="T340" s="3">
        <v>3414.1766147405801</v>
      </c>
      <c r="U340" s="4">
        <v>44670.535800284997</v>
      </c>
      <c r="V340" t="s">
        <v>25</v>
      </c>
      <c r="W340" t="s">
        <v>30</v>
      </c>
    </row>
    <row r="341" spans="1:23" x14ac:dyDescent="0.35">
      <c r="A341">
        <v>1341</v>
      </c>
      <c r="B341" t="s">
        <v>34</v>
      </c>
      <c r="C341" s="1" t="s">
        <v>25</v>
      </c>
      <c r="D341" t="s">
        <v>26</v>
      </c>
      <c r="E341" t="s">
        <v>25</v>
      </c>
      <c r="F341" t="s">
        <v>26</v>
      </c>
      <c r="G341" t="s">
        <v>25</v>
      </c>
      <c r="H341" t="s">
        <v>27</v>
      </c>
      <c r="I341" t="s">
        <v>26</v>
      </c>
      <c r="J341" t="s">
        <v>25</v>
      </c>
      <c r="K341" t="s">
        <v>26</v>
      </c>
      <c r="L341" t="s">
        <v>25</v>
      </c>
      <c r="M341" t="s">
        <v>26</v>
      </c>
      <c r="N341" t="s">
        <v>26</v>
      </c>
      <c r="O341" t="s">
        <v>41</v>
      </c>
      <c r="P341" t="s">
        <v>25</v>
      </c>
      <c r="Q341">
        <v>33</v>
      </c>
      <c r="R341" t="s">
        <v>39</v>
      </c>
      <c r="S341" s="2">
        <v>69.388761618312998</v>
      </c>
      <c r="T341" s="3">
        <v>3411.7042781108098</v>
      </c>
      <c r="U341" s="4">
        <v>44670.335577505903</v>
      </c>
      <c r="V341" t="s">
        <v>25</v>
      </c>
      <c r="W341" t="s">
        <v>30</v>
      </c>
    </row>
    <row r="342" spans="1:23" x14ac:dyDescent="0.35">
      <c r="A342">
        <v>1342</v>
      </c>
      <c r="B342" t="s">
        <v>34</v>
      </c>
      <c r="C342" s="1" t="s">
        <v>25</v>
      </c>
      <c r="D342" t="s">
        <v>26</v>
      </c>
      <c r="E342" t="s">
        <v>26</v>
      </c>
      <c r="F342" t="s">
        <v>26</v>
      </c>
      <c r="G342" t="s">
        <v>25</v>
      </c>
      <c r="H342" t="s">
        <v>25</v>
      </c>
      <c r="I342" t="s">
        <v>26</v>
      </c>
      <c r="J342" t="s">
        <v>25</v>
      </c>
      <c r="K342" t="s">
        <v>26</v>
      </c>
      <c r="L342" t="s">
        <v>25</v>
      </c>
      <c r="M342" t="s">
        <v>25</v>
      </c>
      <c r="N342" t="s">
        <v>25</v>
      </c>
      <c r="O342" t="s">
        <v>41</v>
      </c>
      <c r="P342" t="s">
        <v>25</v>
      </c>
      <c r="Q342">
        <v>33</v>
      </c>
      <c r="R342" t="s">
        <v>39</v>
      </c>
      <c r="S342" s="2">
        <v>69.367353343531306</v>
      </c>
      <c r="T342" s="3">
        <v>3409.2319414810299</v>
      </c>
      <c r="U342" s="4">
        <v>44670.135354726699</v>
      </c>
      <c r="V342" t="s">
        <v>26</v>
      </c>
      <c r="W342" t="s">
        <v>30</v>
      </c>
    </row>
    <row r="343" spans="1:23" x14ac:dyDescent="0.35">
      <c r="A343">
        <v>1343</v>
      </c>
      <c r="B343" t="s">
        <v>31</v>
      </c>
      <c r="C343" s="1" t="s">
        <v>25</v>
      </c>
      <c r="D343" t="s">
        <v>26</v>
      </c>
      <c r="E343" t="s">
        <v>25</v>
      </c>
      <c r="F343" t="s">
        <v>26</v>
      </c>
      <c r="G343" t="s">
        <v>25</v>
      </c>
      <c r="H343" t="s">
        <v>35</v>
      </c>
      <c r="I343" t="s">
        <v>26</v>
      </c>
      <c r="J343" t="s">
        <v>25</v>
      </c>
      <c r="K343" t="s">
        <v>26</v>
      </c>
      <c r="L343" t="s">
        <v>25</v>
      </c>
      <c r="M343" t="s">
        <v>25</v>
      </c>
      <c r="N343" t="s">
        <v>25</v>
      </c>
      <c r="O343" t="s">
        <v>28</v>
      </c>
      <c r="P343" t="s">
        <v>25</v>
      </c>
      <c r="Q343">
        <v>33</v>
      </c>
      <c r="R343" t="s">
        <v>39</v>
      </c>
      <c r="S343" s="2">
        <v>69.345945068749501</v>
      </c>
      <c r="T343" s="3">
        <v>3406.7596048512601</v>
      </c>
      <c r="U343" s="4">
        <v>44669.935131947503</v>
      </c>
      <c r="V343" t="s">
        <v>26</v>
      </c>
      <c r="W343" t="s">
        <v>30</v>
      </c>
    </row>
    <row r="344" spans="1:23" x14ac:dyDescent="0.35">
      <c r="A344">
        <v>1344</v>
      </c>
      <c r="B344" t="s">
        <v>31</v>
      </c>
      <c r="C344" s="1" t="s">
        <v>25</v>
      </c>
      <c r="D344" t="s">
        <v>26</v>
      </c>
      <c r="E344" t="s">
        <v>26</v>
      </c>
      <c r="F344" t="s">
        <v>26</v>
      </c>
      <c r="G344" t="s">
        <v>25</v>
      </c>
      <c r="H344" t="s">
        <v>27</v>
      </c>
      <c r="I344" t="s">
        <v>25</v>
      </c>
      <c r="J344" t="s">
        <v>26</v>
      </c>
      <c r="K344" t="s">
        <v>25</v>
      </c>
      <c r="L344" t="s">
        <v>26</v>
      </c>
      <c r="M344" t="s">
        <v>25</v>
      </c>
      <c r="N344" t="s">
        <v>26</v>
      </c>
      <c r="O344" t="s">
        <v>45</v>
      </c>
      <c r="P344" t="s">
        <v>25</v>
      </c>
      <c r="Q344">
        <v>33</v>
      </c>
      <c r="R344" t="s">
        <v>49</v>
      </c>
      <c r="S344" s="2">
        <v>69.324536793967795</v>
      </c>
      <c r="T344" s="3">
        <v>3404.2872682214802</v>
      </c>
      <c r="U344" s="4">
        <v>44669.734909168299</v>
      </c>
      <c r="V344" t="s">
        <v>25</v>
      </c>
      <c r="W344" t="s">
        <v>30</v>
      </c>
    </row>
    <row r="345" spans="1:23" x14ac:dyDescent="0.35">
      <c r="A345">
        <v>1345</v>
      </c>
      <c r="B345" t="s">
        <v>34</v>
      </c>
      <c r="C345" s="1" t="s">
        <v>25</v>
      </c>
      <c r="D345" t="s">
        <v>26</v>
      </c>
      <c r="E345" t="s">
        <v>25</v>
      </c>
      <c r="F345" t="s">
        <v>26</v>
      </c>
      <c r="G345" t="s">
        <v>25</v>
      </c>
      <c r="H345" t="s">
        <v>35</v>
      </c>
      <c r="I345" t="s">
        <v>25</v>
      </c>
      <c r="J345" t="s">
        <v>25</v>
      </c>
      <c r="K345" t="s">
        <v>26</v>
      </c>
      <c r="L345" t="s">
        <v>25</v>
      </c>
      <c r="M345" t="s">
        <v>26</v>
      </c>
      <c r="N345" t="s">
        <v>25</v>
      </c>
      <c r="O345" t="s">
        <v>41</v>
      </c>
      <c r="P345" t="s">
        <v>26</v>
      </c>
      <c r="Q345">
        <v>33</v>
      </c>
      <c r="R345" t="s">
        <v>49</v>
      </c>
      <c r="S345" s="2">
        <v>69.303128519186004</v>
      </c>
      <c r="T345" s="3">
        <v>3401.8149315917099</v>
      </c>
      <c r="U345" s="4">
        <v>44669.534686389197</v>
      </c>
      <c r="V345" t="s">
        <v>25</v>
      </c>
      <c r="W345" t="s">
        <v>30</v>
      </c>
    </row>
    <row r="346" spans="1:23" x14ac:dyDescent="0.35">
      <c r="A346">
        <v>1346</v>
      </c>
      <c r="B346" t="s">
        <v>34</v>
      </c>
      <c r="C346" s="1" t="s">
        <v>25</v>
      </c>
      <c r="D346" t="s">
        <v>26</v>
      </c>
      <c r="E346" t="s">
        <v>26</v>
      </c>
      <c r="F346" t="s">
        <v>26</v>
      </c>
      <c r="G346" t="s">
        <v>26</v>
      </c>
      <c r="H346" t="s">
        <v>35</v>
      </c>
      <c r="I346" t="s">
        <v>25</v>
      </c>
      <c r="J346" t="s">
        <v>25</v>
      </c>
      <c r="K346" t="s">
        <v>25</v>
      </c>
      <c r="L346" t="s">
        <v>25</v>
      </c>
      <c r="M346" t="s">
        <v>26</v>
      </c>
      <c r="N346" t="s">
        <v>25</v>
      </c>
      <c r="O346" t="s">
        <v>41</v>
      </c>
      <c r="P346" t="s">
        <v>26</v>
      </c>
      <c r="Q346">
        <v>33</v>
      </c>
      <c r="R346" t="s">
        <v>33</v>
      </c>
      <c r="S346" s="2">
        <v>69.281720244404198</v>
      </c>
      <c r="T346" s="3">
        <v>3399.34259496193</v>
      </c>
      <c r="U346" s="4">
        <v>44669.334463610001</v>
      </c>
      <c r="V346" t="s">
        <v>26</v>
      </c>
      <c r="W346" t="s">
        <v>30</v>
      </c>
    </row>
    <row r="347" spans="1:23" x14ac:dyDescent="0.35">
      <c r="A347">
        <v>1347</v>
      </c>
      <c r="B347" t="s">
        <v>31</v>
      </c>
      <c r="C347" s="1" t="s">
        <v>25</v>
      </c>
      <c r="D347" t="s">
        <v>26</v>
      </c>
      <c r="E347" t="s">
        <v>26</v>
      </c>
      <c r="F347" t="s">
        <v>26</v>
      </c>
      <c r="G347" t="s">
        <v>25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26</v>
      </c>
      <c r="N347" t="s">
        <v>26</v>
      </c>
      <c r="O347" t="s">
        <v>41</v>
      </c>
      <c r="P347" t="s">
        <v>25</v>
      </c>
      <c r="Q347">
        <v>33</v>
      </c>
      <c r="R347" t="s">
        <v>33</v>
      </c>
      <c r="S347" s="2">
        <v>69.260311969622506</v>
      </c>
      <c r="T347" s="3">
        <v>3396.8702583321601</v>
      </c>
      <c r="U347" s="4">
        <v>44669.134240830797</v>
      </c>
      <c r="V347" t="s">
        <v>25</v>
      </c>
      <c r="W347" t="s">
        <v>30</v>
      </c>
    </row>
    <row r="348" spans="1:23" x14ac:dyDescent="0.35">
      <c r="A348">
        <v>1348</v>
      </c>
      <c r="B348" t="s">
        <v>34</v>
      </c>
      <c r="C348" s="1" t="s">
        <v>25</v>
      </c>
      <c r="D348" t="s">
        <v>25</v>
      </c>
      <c r="E348" t="s">
        <v>25</v>
      </c>
      <c r="F348" t="s">
        <v>26</v>
      </c>
      <c r="G348" t="s">
        <v>25</v>
      </c>
      <c r="H348" t="s">
        <v>25</v>
      </c>
      <c r="I348" t="s">
        <v>26</v>
      </c>
      <c r="J348" t="s">
        <v>26</v>
      </c>
      <c r="K348" t="s">
        <v>25</v>
      </c>
      <c r="L348" t="s">
        <v>25</v>
      </c>
      <c r="M348" t="s">
        <v>26</v>
      </c>
      <c r="N348" t="s">
        <v>26</v>
      </c>
      <c r="O348" t="s">
        <v>41</v>
      </c>
      <c r="P348" t="s">
        <v>26</v>
      </c>
      <c r="Q348">
        <v>33</v>
      </c>
      <c r="R348" t="s">
        <v>49</v>
      </c>
      <c r="S348" s="2">
        <v>69.238903694840701</v>
      </c>
      <c r="T348" s="3">
        <v>3394.3979217023798</v>
      </c>
      <c r="U348" s="4">
        <v>44668.934018051703</v>
      </c>
      <c r="V348" t="s">
        <v>25</v>
      </c>
      <c r="W348" t="s">
        <v>50</v>
      </c>
    </row>
    <row r="349" spans="1:23" x14ac:dyDescent="0.35">
      <c r="A349">
        <v>1349</v>
      </c>
      <c r="B349" t="s">
        <v>34</v>
      </c>
      <c r="C349" s="1" t="s">
        <v>25</v>
      </c>
      <c r="D349" t="s">
        <v>25</v>
      </c>
      <c r="E349" t="s">
        <v>25</v>
      </c>
      <c r="F349" t="s">
        <v>25</v>
      </c>
      <c r="G349" t="s">
        <v>25</v>
      </c>
      <c r="H349" t="s">
        <v>35</v>
      </c>
      <c r="I349" t="s">
        <v>25</v>
      </c>
      <c r="J349" t="s">
        <v>25</v>
      </c>
      <c r="K349" t="s">
        <v>26</v>
      </c>
      <c r="L349" t="s">
        <v>25</v>
      </c>
      <c r="M349" t="s">
        <v>26</v>
      </c>
      <c r="N349" t="s">
        <v>26</v>
      </c>
      <c r="O349" t="s">
        <v>28</v>
      </c>
      <c r="P349" t="s">
        <v>25</v>
      </c>
      <c r="Q349">
        <v>33</v>
      </c>
      <c r="R349" t="s">
        <v>39</v>
      </c>
      <c r="S349" s="2">
        <v>69.217495420058995</v>
      </c>
      <c r="T349" s="3">
        <v>3391.9255850726099</v>
      </c>
      <c r="U349" s="4">
        <v>44668.733795272499</v>
      </c>
      <c r="V349" t="s">
        <v>25</v>
      </c>
      <c r="W349" t="s">
        <v>30</v>
      </c>
    </row>
    <row r="350" spans="1:23" x14ac:dyDescent="0.35">
      <c r="A350">
        <v>1350</v>
      </c>
      <c r="B350" t="s">
        <v>31</v>
      </c>
      <c r="C350" s="1" t="s">
        <v>25</v>
      </c>
      <c r="D350" t="s">
        <v>26</v>
      </c>
      <c r="E350" t="s">
        <v>25</v>
      </c>
      <c r="F350" t="s">
        <v>26</v>
      </c>
      <c r="G350" t="s">
        <v>25</v>
      </c>
      <c r="H350" t="s">
        <v>25</v>
      </c>
      <c r="I350" t="s">
        <v>25</v>
      </c>
      <c r="J350" t="s">
        <v>26</v>
      </c>
      <c r="K350" t="s">
        <v>25</v>
      </c>
      <c r="L350" t="s">
        <v>25</v>
      </c>
      <c r="M350" t="s">
        <v>25</v>
      </c>
      <c r="N350" t="s">
        <v>26</v>
      </c>
      <c r="O350" t="s">
        <v>28</v>
      </c>
      <c r="P350" t="s">
        <v>25</v>
      </c>
      <c r="Q350">
        <v>33</v>
      </c>
      <c r="R350" t="s">
        <v>39</v>
      </c>
      <c r="S350" s="2">
        <v>69.196087145277204</v>
      </c>
      <c r="T350" s="3">
        <v>3389.45324844283</v>
      </c>
      <c r="U350" s="4">
        <v>44668.533572493303</v>
      </c>
      <c r="V350" t="s">
        <v>25</v>
      </c>
      <c r="W350" t="s">
        <v>30</v>
      </c>
    </row>
    <row r="351" spans="1:23" x14ac:dyDescent="0.35">
      <c r="A351">
        <v>1351</v>
      </c>
      <c r="B351" t="s">
        <v>0</v>
      </c>
      <c r="C351" s="1" t="s">
        <v>25</v>
      </c>
      <c r="D351" t="s">
        <v>25</v>
      </c>
      <c r="E351" t="s">
        <v>26</v>
      </c>
      <c r="F351" t="s">
        <v>25</v>
      </c>
      <c r="G351" t="s">
        <v>26</v>
      </c>
      <c r="H351" t="s">
        <v>27</v>
      </c>
      <c r="I351" t="s">
        <v>25</v>
      </c>
      <c r="J351" t="s">
        <v>25</v>
      </c>
      <c r="K351" t="s">
        <v>25</v>
      </c>
      <c r="L351" t="s">
        <v>25</v>
      </c>
      <c r="M351" t="s">
        <v>25</v>
      </c>
      <c r="N351" t="s">
        <v>26</v>
      </c>
      <c r="O351" t="s">
        <v>45</v>
      </c>
      <c r="P351" t="s">
        <v>25</v>
      </c>
      <c r="Q351">
        <v>33</v>
      </c>
      <c r="R351" t="s">
        <v>39</v>
      </c>
      <c r="S351" s="2">
        <v>69.174678870495498</v>
      </c>
      <c r="T351" s="3">
        <v>3386.9809118130602</v>
      </c>
      <c r="U351" s="4">
        <v>44668.333349714201</v>
      </c>
      <c r="V351" t="s">
        <v>25</v>
      </c>
      <c r="W351" t="s">
        <v>30</v>
      </c>
    </row>
    <row r="352" spans="1:23" x14ac:dyDescent="0.35">
      <c r="A352">
        <v>1352</v>
      </c>
      <c r="B352" t="s">
        <v>34</v>
      </c>
      <c r="C352" s="1" t="s">
        <v>25</v>
      </c>
      <c r="D352" t="s">
        <v>26</v>
      </c>
      <c r="E352" t="s">
        <v>26</v>
      </c>
      <c r="F352" t="s">
        <v>26</v>
      </c>
      <c r="G352" t="s">
        <v>25</v>
      </c>
      <c r="H352" t="s">
        <v>35</v>
      </c>
      <c r="I352" t="s">
        <v>25</v>
      </c>
      <c r="J352" t="s">
        <v>25</v>
      </c>
      <c r="K352" t="s">
        <v>25</v>
      </c>
      <c r="L352" t="s">
        <v>26</v>
      </c>
      <c r="M352" t="s">
        <v>25</v>
      </c>
      <c r="N352" t="s">
        <v>25</v>
      </c>
      <c r="O352" t="s">
        <v>28</v>
      </c>
      <c r="P352" t="s">
        <v>26</v>
      </c>
      <c r="Q352">
        <v>33</v>
      </c>
      <c r="R352" t="s">
        <v>29</v>
      </c>
      <c r="S352" s="2">
        <v>69.153270595713707</v>
      </c>
      <c r="T352" s="3">
        <v>3384.5085751832898</v>
      </c>
      <c r="U352" s="4">
        <v>44668.133126934998</v>
      </c>
      <c r="V352" t="s">
        <v>25</v>
      </c>
      <c r="W352" t="s">
        <v>30</v>
      </c>
    </row>
    <row r="353" spans="1:23" x14ac:dyDescent="0.35">
      <c r="A353">
        <v>1353</v>
      </c>
      <c r="B353" t="s">
        <v>34</v>
      </c>
      <c r="C353" t="s">
        <v>25</v>
      </c>
      <c r="D353" t="s">
        <v>25</v>
      </c>
      <c r="E353" t="s">
        <v>25</v>
      </c>
      <c r="F353" t="s">
        <v>26</v>
      </c>
      <c r="G353" t="s">
        <v>25</v>
      </c>
      <c r="H353" t="s">
        <v>35</v>
      </c>
      <c r="I353" t="s">
        <v>26</v>
      </c>
      <c r="J353" t="s">
        <v>25</v>
      </c>
      <c r="K353" t="s">
        <v>25</v>
      </c>
      <c r="L353" t="s">
        <v>26</v>
      </c>
      <c r="M353" t="s">
        <v>25</v>
      </c>
      <c r="N353" t="s">
        <v>26</v>
      </c>
      <c r="O353" t="s">
        <v>41</v>
      </c>
      <c r="P353" t="s">
        <v>25</v>
      </c>
      <c r="Q353">
        <v>33</v>
      </c>
      <c r="R353" t="s">
        <v>29</v>
      </c>
      <c r="S353" s="2">
        <v>69.131862320932001</v>
      </c>
      <c r="T353" s="3">
        <v>3382.03623855351</v>
      </c>
      <c r="U353" s="4">
        <v>44667.932904155801</v>
      </c>
      <c r="V353" t="s">
        <v>25</v>
      </c>
      <c r="W353" t="s">
        <v>30</v>
      </c>
    </row>
    <row r="354" spans="1:23" x14ac:dyDescent="0.35">
      <c r="A354">
        <v>1354</v>
      </c>
      <c r="B354" t="s">
        <v>31</v>
      </c>
      <c r="C354" s="1" t="s">
        <v>25</v>
      </c>
      <c r="D354" t="s">
        <v>25</v>
      </c>
      <c r="E354" t="s">
        <v>26</v>
      </c>
      <c r="F354" t="s">
        <v>26</v>
      </c>
      <c r="G354" t="s">
        <v>25</v>
      </c>
      <c r="H354" t="s">
        <v>27</v>
      </c>
      <c r="I354" t="s">
        <v>26</v>
      </c>
      <c r="J354" t="s">
        <v>25</v>
      </c>
      <c r="K354" t="s">
        <v>25</v>
      </c>
      <c r="L354" t="s">
        <v>26</v>
      </c>
      <c r="M354" t="s">
        <v>25</v>
      </c>
      <c r="N354" t="s">
        <v>25</v>
      </c>
      <c r="O354" t="s">
        <v>41</v>
      </c>
      <c r="P354" t="s">
        <v>25</v>
      </c>
      <c r="Q354">
        <v>33</v>
      </c>
      <c r="R354" t="s">
        <v>49</v>
      </c>
      <c r="S354" s="2">
        <v>69.110454046150195</v>
      </c>
      <c r="T354" s="3">
        <v>3379.5639019237401</v>
      </c>
      <c r="U354" s="4">
        <v>44667.732681376598</v>
      </c>
      <c r="V354" t="s">
        <v>25</v>
      </c>
      <c r="W354" t="s">
        <v>30</v>
      </c>
    </row>
    <row r="355" spans="1:23" x14ac:dyDescent="0.35">
      <c r="A355">
        <v>1355</v>
      </c>
      <c r="B355" t="s">
        <v>31</v>
      </c>
      <c r="C355" s="1" t="s">
        <v>25</v>
      </c>
      <c r="D355" t="s">
        <v>25</v>
      </c>
      <c r="E355" t="s">
        <v>25</v>
      </c>
      <c r="F355" t="s">
        <v>26</v>
      </c>
      <c r="G355" t="s">
        <v>26</v>
      </c>
      <c r="H355" t="s">
        <v>27</v>
      </c>
      <c r="I355" t="s">
        <v>25</v>
      </c>
      <c r="J355" t="s">
        <v>25</v>
      </c>
      <c r="K355" t="s">
        <v>26</v>
      </c>
      <c r="L355" t="s">
        <v>25</v>
      </c>
      <c r="M355" t="s">
        <v>25</v>
      </c>
      <c r="N355" t="s">
        <v>25</v>
      </c>
      <c r="O355" t="s">
        <v>41</v>
      </c>
      <c r="P355" t="s">
        <v>26</v>
      </c>
      <c r="Q355">
        <v>33</v>
      </c>
      <c r="R355" t="s">
        <v>33</v>
      </c>
      <c r="S355" s="2">
        <v>69.089045771368504</v>
      </c>
      <c r="T355" s="3">
        <v>3377.0915652939598</v>
      </c>
      <c r="U355" s="4">
        <v>44667.532458597503</v>
      </c>
      <c r="V355" t="s">
        <v>25</v>
      </c>
      <c r="W355" t="s">
        <v>30</v>
      </c>
    </row>
    <row r="356" spans="1:23" x14ac:dyDescent="0.35">
      <c r="A356">
        <v>1356</v>
      </c>
      <c r="B356" t="s">
        <v>31</v>
      </c>
      <c r="C356" s="1" t="s">
        <v>25</v>
      </c>
      <c r="D356" t="s">
        <v>26</v>
      </c>
      <c r="E356" t="s">
        <v>25</v>
      </c>
      <c r="F356" t="s">
        <v>26</v>
      </c>
      <c r="G356" t="s">
        <v>26</v>
      </c>
      <c r="H356" t="s">
        <v>35</v>
      </c>
      <c r="I356" t="s">
        <v>26</v>
      </c>
      <c r="J356" t="s">
        <v>25</v>
      </c>
      <c r="K356" t="s">
        <v>25</v>
      </c>
      <c r="L356" t="s">
        <v>26</v>
      </c>
      <c r="M356" t="s">
        <v>25</v>
      </c>
      <c r="N356" t="s">
        <v>26</v>
      </c>
      <c r="O356" t="s">
        <v>48</v>
      </c>
      <c r="P356" t="s">
        <v>26</v>
      </c>
      <c r="Q356">
        <v>33</v>
      </c>
      <c r="R356" t="s">
        <v>39</v>
      </c>
      <c r="S356" s="2">
        <v>69.067637496586698</v>
      </c>
      <c r="T356" s="3">
        <v>3374.6192286641899</v>
      </c>
      <c r="U356" s="4">
        <v>44667.3322358183</v>
      </c>
      <c r="V356" t="s">
        <v>25</v>
      </c>
      <c r="W356" t="s">
        <v>30</v>
      </c>
    </row>
    <row r="357" spans="1:23" x14ac:dyDescent="0.35">
      <c r="A357">
        <v>1357</v>
      </c>
      <c r="B357" t="s">
        <v>31</v>
      </c>
      <c r="C357" s="1" t="s">
        <v>25</v>
      </c>
      <c r="D357" t="s">
        <v>25</v>
      </c>
      <c r="E357" t="s">
        <v>25</v>
      </c>
      <c r="F357" t="s">
        <v>26</v>
      </c>
      <c r="G357" t="s">
        <v>26</v>
      </c>
      <c r="H357" t="s">
        <v>25</v>
      </c>
      <c r="I357" t="s">
        <v>25</v>
      </c>
      <c r="J357" t="s">
        <v>25</v>
      </c>
      <c r="K357" t="s">
        <v>26</v>
      </c>
      <c r="L357" t="s">
        <v>25</v>
      </c>
      <c r="M357" t="s">
        <v>25</v>
      </c>
      <c r="N357" t="s">
        <v>25</v>
      </c>
      <c r="O357" t="s">
        <v>28</v>
      </c>
      <c r="P357" t="s">
        <v>26</v>
      </c>
      <c r="Q357">
        <v>33</v>
      </c>
      <c r="R357" t="s">
        <v>39</v>
      </c>
      <c r="S357" s="2">
        <v>69.046229221804893</v>
      </c>
      <c r="T357" s="3">
        <v>3372.14689203441</v>
      </c>
      <c r="U357" s="4">
        <v>44667.132013039103</v>
      </c>
      <c r="V357" t="s">
        <v>25</v>
      </c>
      <c r="W357" t="s">
        <v>30</v>
      </c>
    </row>
    <row r="358" spans="1:23" x14ac:dyDescent="0.35">
      <c r="A358">
        <v>1358</v>
      </c>
      <c r="B358" t="s">
        <v>31</v>
      </c>
      <c r="C358" s="1" t="s">
        <v>25</v>
      </c>
      <c r="D358" t="s">
        <v>26</v>
      </c>
      <c r="E358" t="s">
        <v>25</v>
      </c>
      <c r="F358" t="s">
        <v>26</v>
      </c>
      <c r="G358" t="s">
        <v>26</v>
      </c>
      <c r="H358" t="s">
        <v>25</v>
      </c>
      <c r="I358" t="s">
        <v>25</v>
      </c>
      <c r="J358" t="s">
        <v>26</v>
      </c>
      <c r="K358" t="s">
        <v>25</v>
      </c>
      <c r="L358" t="s">
        <v>25</v>
      </c>
      <c r="M358" t="s">
        <v>25</v>
      </c>
      <c r="N358" t="s">
        <v>26</v>
      </c>
      <c r="O358" t="s">
        <v>28</v>
      </c>
      <c r="P358" t="s">
        <v>25</v>
      </c>
      <c r="Q358">
        <v>33</v>
      </c>
      <c r="R358" t="s">
        <v>39</v>
      </c>
      <c r="S358" s="2">
        <v>69.024820947023201</v>
      </c>
      <c r="T358" s="3">
        <v>3369.6745554046402</v>
      </c>
      <c r="U358" s="4">
        <v>44666.931790260001</v>
      </c>
      <c r="V358" t="s">
        <v>25</v>
      </c>
      <c r="W358" t="s">
        <v>30</v>
      </c>
    </row>
    <row r="359" spans="1:23" x14ac:dyDescent="0.35">
      <c r="A359">
        <v>1359</v>
      </c>
      <c r="B359" t="s">
        <v>34</v>
      </c>
      <c r="C359" s="1" t="s">
        <v>25</v>
      </c>
      <c r="D359" t="s">
        <v>26</v>
      </c>
      <c r="E359" t="s">
        <v>25</v>
      </c>
      <c r="F359" t="s">
        <v>25</v>
      </c>
      <c r="G359" t="s">
        <v>25</v>
      </c>
      <c r="H359" t="s">
        <v>27</v>
      </c>
      <c r="I359" t="s">
        <v>26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41</v>
      </c>
      <c r="P359" t="s">
        <v>26</v>
      </c>
      <c r="Q359">
        <v>33</v>
      </c>
      <c r="R359" t="s">
        <v>33</v>
      </c>
      <c r="S359" s="2">
        <v>69.003412672241495</v>
      </c>
      <c r="T359" s="3">
        <v>3367.2022187748598</v>
      </c>
      <c r="U359" s="4">
        <v>44666.731567480798</v>
      </c>
      <c r="V359" t="s">
        <v>25</v>
      </c>
      <c r="W359" t="s">
        <v>30</v>
      </c>
    </row>
    <row r="360" spans="1:23" x14ac:dyDescent="0.35">
      <c r="A360">
        <v>1360</v>
      </c>
      <c r="B360" t="s">
        <v>34</v>
      </c>
      <c r="C360" s="1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35</v>
      </c>
      <c r="I360" t="s">
        <v>26</v>
      </c>
      <c r="J360" t="s">
        <v>26</v>
      </c>
      <c r="K360" t="s">
        <v>25</v>
      </c>
      <c r="L360" t="s">
        <v>25</v>
      </c>
      <c r="M360" t="s">
        <v>25</v>
      </c>
      <c r="N360" t="s">
        <v>25</v>
      </c>
      <c r="O360" t="s">
        <v>41</v>
      </c>
      <c r="P360" t="s">
        <v>25</v>
      </c>
      <c r="Q360">
        <v>33</v>
      </c>
      <c r="R360" t="s">
        <v>39</v>
      </c>
      <c r="S360" s="2">
        <v>68.982004397459704</v>
      </c>
      <c r="T360" s="3">
        <v>3364.72988214509</v>
      </c>
      <c r="U360" s="4">
        <v>44666.531344701601</v>
      </c>
      <c r="V360" t="s">
        <v>25</v>
      </c>
      <c r="W360" t="s">
        <v>30</v>
      </c>
    </row>
    <row r="361" spans="1:23" x14ac:dyDescent="0.35">
      <c r="A361">
        <v>1361</v>
      </c>
      <c r="B361" t="s">
        <v>34</v>
      </c>
      <c r="C361" s="1" t="s">
        <v>25</v>
      </c>
      <c r="D361" t="s">
        <v>25</v>
      </c>
      <c r="E361" t="s">
        <v>26</v>
      </c>
      <c r="F361" t="s">
        <v>26</v>
      </c>
      <c r="G361" t="s">
        <v>25</v>
      </c>
      <c r="H361" t="s">
        <v>27</v>
      </c>
      <c r="I361" t="s">
        <v>26</v>
      </c>
      <c r="J361" t="s">
        <v>26</v>
      </c>
      <c r="K361" t="s">
        <v>26</v>
      </c>
      <c r="L361" t="s">
        <v>25</v>
      </c>
      <c r="M361" t="s">
        <v>26</v>
      </c>
      <c r="N361" t="s">
        <v>26</v>
      </c>
      <c r="O361" t="s">
        <v>28</v>
      </c>
      <c r="P361" t="s">
        <v>26</v>
      </c>
      <c r="Q361">
        <v>33</v>
      </c>
      <c r="R361" t="s">
        <v>39</v>
      </c>
      <c r="S361" s="2">
        <v>68.960596122677899</v>
      </c>
      <c r="T361" s="3">
        <v>3362.2575455153101</v>
      </c>
      <c r="U361" s="4">
        <v>44666.3311219225</v>
      </c>
      <c r="V361" t="s">
        <v>25</v>
      </c>
      <c r="W361" t="s">
        <v>30</v>
      </c>
    </row>
    <row r="362" spans="1:23" x14ac:dyDescent="0.35">
      <c r="A362">
        <v>1362</v>
      </c>
      <c r="B362" t="s">
        <v>34</v>
      </c>
      <c r="C362" s="1" t="s">
        <v>25</v>
      </c>
      <c r="D362" t="s">
        <v>26</v>
      </c>
      <c r="E362" t="s">
        <v>25</v>
      </c>
      <c r="F362" t="s">
        <v>26</v>
      </c>
      <c r="G362" t="s">
        <v>25</v>
      </c>
      <c r="H362" t="s">
        <v>27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26</v>
      </c>
      <c r="O362" t="s">
        <v>48</v>
      </c>
      <c r="P362" t="s">
        <v>26</v>
      </c>
      <c r="Q362">
        <v>33</v>
      </c>
      <c r="R362" t="s">
        <v>33</v>
      </c>
      <c r="S362" s="2">
        <v>68.939187847896207</v>
      </c>
      <c r="T362" s="3">
        <v>3359.7852088855402</v>
      </c>
      <c r="U362" s="4">
        <v>44666.130899143303</v>
      </c>
      <c r="V362" t="s">
        <v>25</v>
      </c>
      <c r="W362" t="s">
        <v>30</v>
      </c>
    </row>
    <row r="363" spans="1:23" x14ac:dyDescent="0.35">
      <c r="A363">
        <v>1363</v>
      </c>
      <c r="B363" t="s">
        <v>34</v>
      </c>
      <c r="C363" s="1" t="s">
        <v>25</v>
      </c>
      <c r="D363" t="s">
        <v>25</v>
      </c>
      <c r="E363" t="s">
        <v>25</v>
      </c>
      <c r="F363" t="s">
        <v>26</v>
      </c>
      <c r="G363" t="s">
        <v>25</v>
      </c>
      <c r="H363" t="s">
        <v>35</v>
      </c>
      <c r="I363" t="s">
        <v>26</v>
      </c>
      <c r="J363" t="s">
        <v>25</v>
      </c>
      <c r="K363" t="s">
        <v>26</v>
      </c>
      <c r="L363" t="s">
        <v>25</v>
      </c>
      <c r="M363" t="s">
        <v>25</v>
      </c>
      <c r="N363" t="s">
        <v>25</v>
      </c>
      <c r="O363" t="s">
        <v>45</v>
      </c>
      <c r="P363" t="s">
        <v>26</v>
      </c>
      <c r="Q363">
        <v>33</v>
      </c>
      <c r="R363" t="s">
        <v>49</v>
      </c>
      <c r="S363" s="2">
        <v>68.917779573114402</v>
      </c>
      <c r="T363" s="3">
        <v>3357.3128722557599</v>
      </c>
      <c r="U363" s="4">
        <v>44665.9306763641</v>
      </c>
      <c r="V363" t="s">
        <v>25</v>
      </c>
      <c r="W363" t="s">
        <v>30</v>
      </c>
    </row>
    <row r="364" spans="1:23" x14ac:dyDescent="0.35">
      <c r="A364">
        <v>1364</v>
      </c>
      <c r="B364" t="s">
        <v>34</v>
      </c>
      <c r="C364" s="1" t="s">
        <v>25</v>
      </c>
      <c r="D364" t="s">
        <v>25</v>
      </c>
      <c r="E364" t="s">
        <v>25</v>
      </c>
      <c r="F364" t="s">
        <v>26</v>
      </c>
      <c r="G364" t="s">
        <v>25</v>
      </c>
      <c r="H364" t="s">
        <v>27</v>
      </c>
      <c r="I364" t="s">
        <v>25</v>
      </c>
      <c r="J364" t="s">
        <v>25</v>
      </c>
      <c r="K364" t="s">
        <v>25</v>
      </c>
      <c r="L364" t="s">
        <v>26</v>
      </c>
      <c r="M364" t="s">
        <v>26</v>
      </c>
      <c r="N364" t="s">
        <v>26</v>
      </c>
      <c r="O364" t="s">
        <v>28</v>
      </c>
      <c r="P364" t="s">
        <v>25</v>
      </c>
      <c r="Q364">
        <v>33</v>
      </c>
      <c r="R364" t="s">
        <v>33</v>
      </c>
      <c r="S364" s="2">
        <v>68.896371298332696</v>
      </c>
      <c r="T364" s="3">
        <v>3354.84053562599</v>
      </c>
      <c r="U364" s="4">
        <v>44665.730453584903</v>
      </c>
      <c r="V364" t="s">
        <v>25</v>
      </c>
      <c r="W364" t="s">
        <v>50</v>
      </c>
    </row>
    <row r="365" spans="1:23" x14ac:dyDescent="0.35">
      <c r="A365">
        <v>1365</v>
      </c>
      <c r="B365" t="s">
        <v>31</v>
      </c>
      <c r="C365" s="1" t="s">
        <v>25</v>
      </c>
      <c r="D365" t="s">
        <v>26</v>
      </c>
      <c r="E365" t="s">
        <v>26</v>
      </c>
      <c r="F365" t="s">
        <v>26</v>
      </c>
      <c r="G365" t="s">
        <v>26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41</v>
      </c>
      <c r="P365" t="s">
        <v>26</v>
      </c>
      <c r="Q365">
        <v>33</v>
      </c>
      <c r="R365" t="s">
        <v>29</v>
      </c>
      <c r="S365" s="2">
        <v>68.874963023550904</v>
      </c>
      <c r="T365" s="3">
        <v>3352.3681989962101</v>
      </c>
      <c r="U365" s="4">
        <v>44665.530230805802</v>
      </c>
      <c r="V365" t="s">
        <v>25</v>
      </c>
      <c r="W365" t="s">
        <v>30</v>
      </c>
    </row>
    <row r="366" spans="1:23" x14ac:dyDescent="0.35">
      <c r="A366">
        <v>1366</v>
      </c>
      <c r="B366" t="s">
        <v>31</v>
      </c>
      <c r="C366" s="1" t="s">
        <v>25</v>
      </c>
      <c r="D366" t="s">
        <v>25</v>
      </c>
      <c r="E366" t="s">
        <v>25</v>
      </c>
      <c r="F366" t="s">
        <v>26</v>
      </c>
      <c r="G366" t="s">
        <v>26</v>
      </c>
      <c r="H366" t="s">
        <v>27</v>
      </c>
      <c r="I366" t="s">
        <v>25</v>
      </c>
      <c r="J366" t="s">
        <v>25</v>
      </c>
      <c r="K366" t="s">
        <v>25</v>
      </c>
      <c r="L366" t="s">
        <v>26</v>
      </c>
      <c r="M366" t="s">
        <v>25</v>
      </c>
      <c r="N366" t="s">
        <v>26</v>
      </c>
      <c r="O366" t="s">
        <v>41</v>
      </c>
      <c r="P366" t="s">
        <v>25</v>
      </c>
      <c r="Q366">
        <v>33</v>
      </c>
      <c r="R366" t="s">
        <v>39</v>
      </c>
      <c r="S366" s="2">
        <v>68.853554748769199</v>
      </c>
      <c r="T366" s="3">
        <v>3349.8958623664398</v>
      </c>
      <c r="U366" s="4">
        <v>44665.330008026598</v>
      </c>
      <c r="V366" t="s">
        <v>25</v>
      </c>
      <c r="W366" t="s">
        <v>30</v>
      </c>
    </row>
    <row r="367" spans="1:23" x14ac:dyDescent="0.35">
      <c r="A367">
        <v>1367</v>
      </c>
      <c r="B367" t="s">
        <v>0</v>
      </c>
      <c r="C367" s="1" t="s">
        <v>25</v>
      </c>
      <c r="D367" t="s">
        <v>26</v>
      </c>
      <c r="E367" t="s">
        <v>26</v>
      </c>
      <c r="F367" t="s">
        <v>25</v>
      </c>
      <c r="G367" t="s">
        <v>26</v>
      </c>
      <c r="H367" t="s">
        <v>35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41</v>
      </c>
      <c r="P367" t="s">
        <v>25</v>
      </c>
      <c r="Q367">
        <v>33</v>
      </c>
      <c r="R367" t="s">
        <v>33</v>
      </c>
      <c r="S367" s="2">
        <v>68.832146473987393</v>
      </c>
      <c r="T367" s="3">
        <v>3347.4235257366599</v>
      </c>
      <c r="U367" s="4">
        <v>44665.129785247402</v>
      </c>
      <c r="V367" t="s">
        <v>25</v>
      </c>
      <c r="W367" t="s">
        <v>30</v>
      </c>
    </row>
    <row r="368" spans="1:23" x14ac:dyDescent="0.35">
      <c r="A368">
        <v>1368</v>
      </c>
      <c r="B368" t="s">
        <v>34</v>
      </c>
      <c r="C368" s="1" t="s">
        <v>25</v>
      </c>
      <c r="D368" t="s">
        <v>25</v>
      </c>
      <c r="E368" t="s">
        <v>25</v>
      </c>
      <c r="F368" t="s">
        <v>26</v>
      </c>
      <c r="G368" t="s">
        <v>26</v>
      </c>
      <c r="H368" t="s">
        <v>35</v>
      </c>
      <c r="I368" t="s">
        <v>25</v>
      </c>
      <c r="J368" t="s">
        <v>26</v>
      </c>
      <c r="K368" t="s">
        <v>25</v>
      </c>
      <c r="L368" t="s">
        <v>26</v>
      </c>
      <c r="M368" t="s">
        <v>25</v>
      </c>
      <c r="N368" t="s">
        <v>25</v>
      </c>
      <c r="O368" t="s">
        <v>45</v>
      </c>
      <c r="P368" t="s">
        <v>26</v>
      </c>
      <c r="Q368">
        <v>33</v>
      </c>
      <c r="R368" t="s">
        <v>39</v>
      </c>
      <c r="S368" s="2">
        <v>68.810738199205701</v>
      </c>
      <c r="T368" s="3">
        <v>3344.9511891068901</v>
      </c>
      <c r="U368" s="4">
        <v>44664.9295624683</v>
      </c>
      <c r="V368" t="s">
        <v>26</v>
      </c>
      <c r="W368" t="s">
        <v>30</v>
      </c>
    </row>
    <row r="369" spans="1:23" x14ac:dyDescent="0.35">
      <c r="A369">
        <v>1369</v>
      </c>
      <c r="B369" t="s">
        <v>34</v>
      </c>
      <c r="C369" s="1" t="s">
        <v>25</v>
      </c>
      <c r="D369" t="s">
        <v>26</v>
      </c>
      <c r="E369" t="s">
        <v>26</v>
      </c>
      <c r="F369" t="s">
        <v>26</v>
      </c>
      <c r="G369" t="s">
        <v>26</v>
      </c>
      <c r="H369" t="s">
        <v>27</v>
      </c>
      <c r="I369" t="s">
        <v>26</v>
      </c>
      <c r="J369" t="s">
        <v>26</v>
      </c>
      <c r="K369" t="s">
        <v>25</v>
      </c>
      <c r="L369" t="s">
        <v>25</v>
      </c>
      <c r="M369" t="s">
        <v>26</v>
      </c>
      <c r="N369" t="s">
        <v>25</v>
      </c>
      <c r="O369" t="s">
        <v>41</v>
      </c>
      <c r="P369" t="s">
        <v>26</v>
      </c>
      <c r="Q369">
        <v>33</v>
      </c>
      <c r="R369" t="s">
        <v>49</v>
      </c>
      <c r="S369" s="2">
        <v>68.789329924423896</v>
      </c>
      <c r="T369" s="3">
        <v>3342.4788524771202</v>
      </c>
      <c r="U369" s="4">
        <v>44664.729339689096</v>
      </c>
      <c r="V369" t="s">
        <v>25</v>
      </c>
      <c r="W369" t="s">
        <v>30</v>
      </c>
    </row>
    <row r="370" spans="1:23" x14ac:dyDescent="0.35">
      <c r="A370">
        <v>1370</v>
      </c>
      <c r="B370" t="s">
        <v>34</v>
      </c>
      <c r="C370" s="1" t="s">
        <v>25</v>
      </c>
      <c r="D370" t="s">
        <v>25</v>
      </c>
      <c r="E370" t="s">
        <v>26</v>
      </c>
      <c r="F370" t="s">
        <v>26</v>
      </c>
      <c r="G370" t="s">
        <v>26</v>
      </c>
      <c r="H370" t="s">
        <v>27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26</v>
      </c>
      <c r="O370" t="s">
        <v>41</v>
      </c>
      <c r="P370" t="s">
        <v>25</v>
      </c>
      <c r="Q370">
        <v>33</v>
      </c>
      <c r="R370" t="s">
        <v>39</v>
      </c>
      <c r="S370" s="2">
        <v>68.767921649642204</v>
      </c>
      <c r="T370" s="3">
        <v>3340.0065158473399</v>
      </c>
      <c r="U370" s="4">
        <v>44664.5291169099</v>
      </c>
      <c r="V370" t="s">
        <v>25</v>
      </c>
      <c r="W370" t="s">
        <v>30</v>
      </c>
    </row>
    <row r="371" spans="1:23" x14ac:dyDescent="0.35">
      <c r="A371">
        <v>1371</v>
      </c>
      <c r="B371" t="s">
        <v>34</v>
      </c>
      <c r="C371" s="1" t="s">
        <v>25</v>
      </c>
      <c r="D371" t="s">
        <v>25</v>
      </c>
      <c r="E371" t="s">
        <v>25</v>
      </c>
      <c r="F371" t="s">
        <v>26</v>
      </c>
      <c r="G371" t="s">
        <v>26</v>
      </c>
      <c r="H371" t="s">
        <v>27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26</v>
      </c>
      <c r="O371" t="s">
        <v>41</v>
      </c>
      <c r="P371" t="s">
        <v>25</v>
      </c>
      <c r="Q371">
        <v>33</v>
      </c>
      <c r="R371" t="s">
        <v>29</v>
      </c>
      <c r="S371" s="2">
        <v>68.746513374860399</v>
      </c>
      <c r="T371" s="3">
        <v>3337.53417921757</v>
      </c>
      <c r="U371" s="4">
        <v>44664.328894130798</v>
      </c>
      <c r="V371" t="s">
        <v>25</v>
      </c>
      <c r="W371" t="s">
        <v>30</v>
      </c>
    </row>
    <row r="372" spans="1:23" x14ac:dyDescent="0.35">
      <c r="A372">
        <v>1372</v>
      </c>
      <c r="B372" t="s">
        <v>34</v>
      </c>
      <c r="C372" s="1" t="s">
        <v>25</v>
      </c>
      <c r="D372" t="s">
        <v>25</v>
      </c>
      <c r="E372" t="s">
        <v>26</v>
      </c>
      <c r="F372" t="s">
        <v>26</v>
      </c>
      <c r="G372" t="s">
        <v>26</v>
      </c>
      <c r="H372" t="s">
        <v>35</v>
      </c>
      <c r="I372" t="s">
        <v>25</v>
      </c>
      <c r="J372" t="s">
        <v>26</v>
      </c>
      <c r="K372" t="s">
        <v>26</v>
      </c>
      <c r="L372" t="s">
        <v>25</v>
      </c>
      <c r="M372" t="s">
        <v>26</v>
      </c>
      <c r="N372" t="s">
        <v>26</v>
      </c>
      <c r="O372" t="s">
        <v>41</v>
      </c>
      <c r="P372" t="s">
        <v>26</v>
      </c>
      <c r="Q372">
        <v>33</v>
      </c>
      <c r="R372" t="s">
        <v>33</v>
      </c>
      <c r="S372" s="2">
        <v>68.725105100078693</v>
      </c>
      <c r="T372" s="3">
        <v>3335.0618425877901</v>
      </c>
      <c r="U372" s="4">
        <v>44664.128671351602</v>
      </c>
      <c r="V372" t="s">
        <v>25</v>
      </c>
      <c r="W372" t="s">
        <v>30</v>
      </c>
    </row>
    <row r="373" spans="1:23" x14ac:dyDescent="0.35">
      <c r="A373">
        <v>1373</v>
      </c>
      <c r="B373" t="s">
        <v>31</v>
      </c>
      <c r="C373" s="1" t="s">
        <v>25</v>
      </c>
      <c r="D373" t="s">
        <v>25</v>
      </c>
      <c r="E373" t="s">
        <v>26</v>
      </c>
      <c r="F373" t="s">
        <v>26</v>
      </c>
      <c r="G373" t="s">
        <v>25</v>
      </c>
      <c r="H373" t="s">
        <v>25</v>
      </c>
      <c r="I373" t="s">
        <v>26</v>
      </c>
      <c r="J373" t="s">
        <v>25</v>
      </c>
      <c r="K373" t="s">
        <v>26</v>
      </c>
      <c r="L373" t="s">
        <v>25</v>
      </c>
      <c r="M373" t="s">
        <v>25</v>
      </c>
      <c r="N373" t="s">
        <v>25</v>
      </c>
      <c r="O373" t="s">
        <v>41</v>
      </c>
      <c r="P373" t="s">
        <v>26</v>
      </c>
      <c r="Q373">
        <v>33</v>
      </c>
      <c r="R373" t="s">
        <v>49</v>
      </c>
      <c r="S373" s="2">
        <v>68.703696825296902</v>
      </c>
      <c r="T373" s="3">
        <v>3332.5895059580198</v>
      </c>
      <c r="U373" s="4">
        <v>44663.928448572398</v>
      </c>
      <c r="V373" t="s">
        <v>25</v>
      </c>
      <c r="W373" t="s">
        <v>30</v>
      </c>
    </row>
    <row r="374" spans="1:23" x14ac:dyDescent="0.35">
      <c r="A374">
        <v>1374</v>
      </c>
      <c r="B374" t="s">
        <v>31</v>
      </c>
      <c r="C374" t="s">
        <v>25</v>
      </c>
      <c r="D374" t="s">
        <v>26</v>
      </c>
      <c r="E374" t="s">
        <v>25</v>
      </c>
      <c r="F374" t="s">
        <v>25</v>
      </c>
      <c r="G374" t="s">
        <v>25</v>
      </c>
      <c r="H374" t="s">
        <v>35</v>
      </c>
      <c r="I374" t="s">
        <v>26</v>
      </c>
      <c r="J374" t="s">
        <v>25</v>
      </c>
      <c r="K374" t="s">
        <v>25</v>
      </c>
      <c r="L374" t="s">
        <v>25</v>
      </c>
      <c r="M374" t="s">
        <v>26</v>
      </c>
      <c r="N374" t="s">
        <v>25</v>
      </c>
      <c r="O374" t="s">
        <v>42</v>
      </c>
      <c r="P374" t="s">
        <v>26</v>
      </c>
      <c r="Q374">
        <v>33</v>
      </c>
      <c r="R374" t="s">
        <v>33</v>
      </c>
      <c r="S374" s="2">
        <v>68.682288550515196</v>
      </c>
      <c r="T374" s="3">
        <v>3330.1171693282399</v>
      </c>
      <c r="U374" s="4">
        <v>44663.728225793202</v>
      </c>
      <c r="V374" t="s">
        <v>25</v>
      </c>
      <c r="W374" t="s">
        <v>30</v>
      </c>
    </row>
    <row r="375" spans="1:23" x14ac:dyDescent="0.35">
      <c r="A375">
        <v>1375</v>
      </c>
      <c r="B375" t="s">
        <v>31</v>
      </c>
      <c r="C375" t="s">
        <v>25</v>
      </c>
      <c r="D375" t="s">
        <v>25</v>
      </c>
      <c r="E375" t="s">
        <v>26</v>
      </c>
      <c r="F375" t="s">
        <v>26</v>
      </c>
      <c r="G375" t="s">
        <v>25</v>
      </c>
      <c r="H375" t="s">
        <v>25</v>
      </c>
      <c r="I375" t="s">
        <v>25</v>
      </c>
      <c r="J375" t="s">
        <v>26</v>
      </c>
      <c r="K375" t="s">
        <v>26</v>
      </c>
      <c r="L375" t="s">
        <v>25</v>
      </c>
      <c r="M375" t="s">
        <v>25</v>
      </c>
      <c r="N375" t="s">
        <v>25</v>
      </c>
      <c r="O375" t="s">
        <v>41</v>
      </c>
      <c r="P375" t="s">
        <v>26</v>
      </c>
      <c r="Q375">
        <v>33</v>
      </c>
      <c r="R375" t="s">
        <v>29</v>
      </c>
      <c r="S375" s="2">
        <v>68.660880275733405</v>
      </c>
      <c r="T375" s="3">
        <v>3327.6448326984701</v>
      </c>
      <c r="U375" s="4">
        <v>44663.5280030141</v>
      </c>
      <c r="V375" t="s">
        <v>25</v>
      </c>
      <c r="W375" t="s">
        <v>30</v>
      </c>
    </row>
    <row r="376" spans="1:23" x14ac:dyDescent="0.35">
      <c r="A376">
        <v>1376</v>
      </c>
      <c r="B376" t="s">
        <v>31</v>
      </c>
      <c r="C376" t="s">
        <v>25</v>
      </c>
      <c r="D376" t="s">
        <v>25</v>
      </c>
      <c r="E376" t="s">
        <v>26</v>
      </c>
      <c r="F376" t="s">
        <v>26</v>
      </c>
      <c r="G376" t="s">
        <v>25</v>
      </c>
      <c r="H376" t="s">
        <v>27</v>
      </c>
      <c r="I376" t="s">
        <v>26</v>
      </c>
      <c r="J376" t="s">
        <v>25</v>
      </c>
      <c r="K376" t="s">
        <v>26</v>
      </c>
      <c r="L376" t="s">
        <v>26</v>
      </c>
      <c r="M376" t="s">
        <v>25</v>
      </c>
      <c r="N376" t="s">
        <v>26</v>
      </c>
      <c r="O376" t="s">
        <v>41</v>
      </c>
      <c r="P376" t="s">
        <v>26</v>
      </c>
      <c r="Q376">
        <v>33</v>
      </c>
      <c r="R376" t="s">
        <v>49</v>
      </c>
      <c r="S376" s="2">
        <v>68.639472000951599</v>
      </c>
      <c r="T376" s="3">
        <v>3325.1724960686902</v>
      </c>
      <c r="U376" s="4">
        <v>44663.327780234897</v>
      </c>
      <c r="V376" t="s">
        <v>25</v>
      </c>
      <c r="W376" t="s">
        <v>30</v>
      </c>
    </row>
    <row r="377" spans="1:23" x14ac:dyDescent="0.35">
      <c r="A377">
        <v>1377</v>
      </c>
      <c r="B377" t="s">
        <v>34</v>
      </c>
      <c r="C377" t="s">
        <v>25</v>
      </c>
      <c r="D377" t="s">
        <v>25</v>
      </c>
      <c r="E377" t="s">
        <v>26</v>
      </c>
      <c r="F377" t="s">
        <v>26</v>
      </c>
      <c r="G377" t="s">
        <v>25</v>
      </c>
      <c r="H377" t="s">
        <v>27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26</v>
      </c>
      <c r="O377" t="s">
        <v>41</v>
      </c>
      <c r="P377" t="s">
        <v>25</v>
      </c>
      <c r="Q377">
        <v>33</v>
      </c>
      <c r="R377" t="s">
        <v>39</v>
      </c>
      <c r="S377" s="2">
        <v>68.618063726169893</v>
      </c>
      <c r="T377" s="3">
        <v>3322.7001594389199</v>
      </c>
      <c r="U377" s="4">
        <v>44663.1275574557</v>
      </c>
      <c r="V377" t="s">
        <v>25</v>
      </c>
      <c r="W377" t="s">
        <v>30</v>
      </c>
    </row>
    <row r="378" spans="1:23" x14ac:dyDescent="0.35">
      <c r="A378">
        <v>1378</v>
      </c>
      <c r="B378" t="s">
        <v>31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35</v>
      </c>
      <c r="I378" t="s">
        <v>25</v>
      </c>
      <c r="J378" t="s">
        <v>25</v>
      </c>
      <c r="K378" t="s">
        <v>25</v>
      </c>
      <c r="L378" t="s">
        <v>26</v>
      </c>
      <c r="M378" t="s">
        <v>26</v>
      </c>
      <c r="N378" t="s">
        <v>25</v>
      </c>
      <c r="O378" t="s">
        <v>28</v>
      </c>
      <c r="P378" t="s">
        <v>25</v>
      </c>
      <c r="Q378">
        <v>33</v>
      </c>
      <c r="R378" t="s">
        <v>39</v>
      </c>
      <c r="S378" s="2">
        <v>68.596655451388102</v>
      </c>
      <c r="T378" s="3">
        <v>3320.22782280914</v>
      </c>
      <c r="U378" s="4">
        <v>44662.927334676599</v>
      </c>
      <c r="V378" t="s">
        <v>25</v>
      </c>
      <c r="W378" t="s">
        <v>30</v>
      </c>
    </row>
    <row r="379" spans="1:23" x14ac:dyDescent="0.35">
      <c r="A379">
        <v>1379</v>
      </c>
      <c r="B379" t="s">
        <v>31</v>
      </c>
      <c r="C379" t="s">
        <v>25</v>
      </c>
      <c r="D379" t="s">
        <v>25</v>
      </c>
      <c r="E379" t="s">
        <v>25</v>
      </c>
      <c r="F379" t="s">
        <v>26</v>
      </c>
      <c r="G379" t="s">
        <v>25</v>
      </c>
      <c r="H379" t="s">
        <v>35</v>
      </c>
      <c r="I379" t="s">
        <v>25</v>
      </c>
      <c r="J379" t="s">
        <v>26</v>
      </c>
      <c r="K379" t="s">
        <v>25</v>
      </c>
      <c r="L379" t="s">
        <v>25</v>
      </c>
      <c r="M379" t="s">
        <v>26</v>
      </c>
      <c r="N379" t="s">
        <v>25</v>
      </c>
      <c r="O379" t="s">
        <v>41</v>
      </c>
      <c r="P379" t="s">
        <v>26</v>
      </c>
      <c r="Q379">
        <v>33</v>
      </c>
      <c r="R379" t="s">
        <v>49</v>
      </c>
      <c r="S379" s="2">
        <v>68.575247176606396</v>
      </c>
      <c r="T379" s="3">
        <v>3317.7554861793701</v>
      </c>
      <c r="U379" s="4">
        <v>44662.727111897402</v>
      </c>
      <c r="V379" t="s">
        <v>25</v>
      </c>
      <c r="W379" t="s">
        <v>30</v>
      </c>
    </row>
    <row r="380" spans="1:23" x14ac:dyDescent="0.35">
      <c r="A380">
        <v>1380</v>
      </c>
      <c r="B380" t="s">
        <v>31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35</v>
      </c>
      <c r="I380" t="s">
        <v>26</v>
      </c>
      <c r="J380" t="s">
        <v>25</v>
      </c>
      <c r="K380" t="s">
        <v>26</v>
      </c>
      <c r="L380" t="s">
        <v>26</v>
      </c>
      <c r="M380" t="s">
        <v>25</v>
      </c>
      <c r="N380" t="s">
        <v>26</v>
      </c>
      <c r="O380" t="s">
        <v>48</v>
      </c>
      <c r="P380" t="s">
        <v>26</v>
      </c>
      <c r="Q380">
        <v>33</v>
      </c>
      <c r="R380" t="s">
        <v>39</v>
      </c>
      <c r="S380" s="2">
        <v>68.553838901824605</v>
      </c>
      <c r="T380" s="3">
        <v>3315.2831495495898</v>
      </c>
      <c r="U380" s="4">
        <v>44662.526889118199</v>
      </c>
      <c r="V380" t="s">
        <v>25</v>
      </c>
      <c r="W380" t="s">
        <v>30</v>
      </c>
    </row>
    <row r="381" spans="1:23" x14ac:dyDescent="0.35">
      <c r="A381">
        <v>1381</v>
      </c>
      <c r="B381" t="s">
        <v>31</v>
      </c>
      <c r="C381" t="s">
        <v>25</v>
      </c>
      <c r="D381" t="s">
        <v>25</v>
      </c>
      <c r="E381" t="s">
        <v>25</v>
      </c>
      <c r="F381" t="s">
        <v>26</v>
      </c>
      <c r="G381" t="s">
        <v>26</v>
      </c>
      <c r="H381" t="s">
        <v>27</v>
      </c>
      <c r="I381" t="s">
        <v>26</v>
      </c>
      <c r="J381" t="s">
        <v>25</v>
      </c>
      <c r="K381" t="s">
        <v>26</v>
      </c>
      <c r="L381" t="s">
        <v>25</v>
      </c>
      <c r="M381" t="s">
        <v>25</v>
      </c>
      <c r="N381" t="s">
        <v>25</v>
      </c>
      <c r="O381" t="s">
        <v>42</v>
      </c>
      <c r="P381" t="s">
        <v>26</v>
      </c>
      <c r="Q381">
        <v>33</v>
      </c>
      <c r="R381" t="s">
        <v>29</v>
      </c>
      <c r="S381" s="2">
        <v>68.532430627042899</v>
      </c>
      <c r="T381" s="3">
        <v>3312.8108129198199</v>
      </c>
      <c r="U381" s="4">
        <v>44662.326666339097</v>
      </c>
      <c r="V381" t="s">
        <v>25</v>
      </c>
      <c r="W381" t="s">
        <v>30</v>
      </c>
    </row>
    <row r="382" spans="1:23" x14ac:dyDescent="0.35">
      <c r="A382">
        <v>1382</v>
      </c>
      <c r="B382" t="s">
        <v>31</v>
      </c>
      <c r="C382" t="s">
        <v>25</v>
      </c>
      <c r="D382" t="s">
        <v>26</v>
      </c>
      <c r="E382" t="s">
        <v>25</v>
      </c>
      <c r="F382" t="s">
        <v>26</v>
      </c>
      <c r="G382" t="s">
        <v>25</v>
      </c>
      <c r="H382" t="s">
        <v>25</v>
      </c>
      <c r="I382" t="s">
        <v>26</v>
      </c>
      <c r="J382" t="s">
        <v>26</v>
      </c>
      <c r="K382" t="s">
        <v>26</v>
      </c>
      <c r="L382" t="s">
        <v>25</v>
      </c>
      <c r="M382" t="s">
        <v>25</v>
      </c>
      <c r="N382" t="s">
        <v>26</v>
      </c>
      <c r="O382" t="s">
        <v>41</v>
      </c>
      <c r="P382" t="s">
        <v>26</v>
      </c>
      <c r="Q382">
        <v>33</v>
      </c>
      <c r="R382" t="s">
        <v>29</v>
      </c>
      <c r="S382" s="2">
        <v>68.511022352261094</v>
      </c>
      <c r="T382" s="3">
        <v>3310.33847629004</v>
      </c>
      <c r="U382" s="4">
        <v>44662.126443559901</v>
      </c>
      <c r="V382" t="s">
        <v>26</v>
      </c>
      <c r="W382" t="s">
        <v>50</v>
      </c>
    </row>
    <row r="383" spans="1:23" x14ac:dyDescent="0.35">
      <c r="A383">
        <v>1383</v>
      </c>
      <c r="B383" t="s">
        <v>31</v>
      </c>
      <c r="C383" t="s">
        <v>25</v>
      </c>
      <c r="D383" t="s">
        <v>25</v>
      </c>
      <c r="E383" t="s">
        <v>25</v>
      </c>
      <c r="F383" t="s">
        <v>26</v>
      </c>
      <c r="G383" t="s">
        <v>26</v>
      </c>
      <c r="H383" t="s">
        <v>27</v>
      </c>
      <c r="I383" t="s">
        <v>26</v>
      </c>
      <c r="J383" t="s">
        <v>26</v>
      </c>
      <c r="K383" t="s">
        <v>25</v>
      </c>
      <c r="L383" t="s">
        <v>26</v>
      </c>
      <c r="M383" t="s">
        <v>25</v>
      </c>
      <c r="N383" t="s">
        <v>26</v>
      </c>
      <c r="O383" t="s">
        <v>28</v>
      </c>
      <c r="P383" t="s">
        <v>26</v>
      </c>
      <c r="Q383">
        <v>33</v>
      </c>
      <c r="R383" t="s">
        <v>49</v>
      </c>
      <c r="S383" s="2">
        <v>68.489614077479402</v>
      </c>
      <c r="T383" s="3">
        <v>3307.8661396602702</v>
      </c>
      <c r="U383" s="4">
        <v>44661.926220780697</v>
      </c>
      <c r="V383" t="s">
        <v>25</v>
      </c>
      <c r="W383" t="s">
        <v>30</v>
      </c>
    </row>
    <row r="384" spans="1:23" x14ac:dyDescent="0.35">
      <c r="A384">
        <v>1384</v>
      </c>
      <c r="B384" t="s">
        <v>34</v>
      </c>
      <c r="C384" t="s">
        <v>25</v>
      </c>
      <c r="D384" t="s">
        <v>26</v>
      </c>
      <c r="E384" t="s">
        <v>25</v>
      </c>
      <c r="F384" t="s">
        <v>25</v>
      </c>
      <c r="G384" t="s">
        <v>25</v>
      </c>
      <c r="H384" t="s">
        <v>35</v>
      </c>
      <c r="I384" t="s">
        <v>26</v>
      </c>
      <c r="J384" t="s">
        <v>26</v>
      </c>
      <c r="K384" t="s">
        <v>25</v>
      </c>
      <c r="L384" t="s">
        <v>25</v>
      </c>
      <c r="M384" t="s">
        <v>25</v>
      </c>
      <c r="N384" t="s">
        <v>26</v>
      </c>
      <c r="O384" t="s">
        <v>41</v>
      </c>
      <c r="P384" t="s">
        <v>25</v>
      </c>
      <c r="Q384">
        <v>33</v>
      </c>
      <c r="R384" t="s">
        <v>39</v>
      </c>
      <c r="S384" s="2">
        <v>68.468205802697597</v>
      </c>
      <c r="T384" s="3">
        <v>3305.3938030304898</v>
      </c>
      <c r="U384" s="4">
        <v>44661.725998001501</v>
      </c>
      <c r="V384" t="s">
        <v>25</v>
      </c>
      <c r="W384" t="s">
        <v>30</v>
      </c>
    </row>
    <row r="385" spans="1:23" x14ac:dyDescent="0.35">
      <c r="A385">
        <v>1385</v>
      </c>
      <c r="B385" t="s">
        <v>31</v>
      </c>
      <c r="C385" t="s">
        <v>25</v>
      </c>
      <c r="D385" t="s">
        <v>25</v>
      </c>
      <c r="E385" t="s">
        <v>26</v>
      </c>
      <c r="F385" t="s">
        <v>26</v>
      </c>
      <c r="G385" t="s">
        <v>25</v>
      </c>
      <c r="H385" t="s">
        <v>35</v>
      </c>
      <c r="I385" t="s">
        <v>25</v>
      </c>
      <c r="J385" t="s">
        <v>25</v>
      </c>
      <c r="K385" t="s">
        <v>25</v>
      </c>
      <c r="L385" t="s">
        <v>25</v>
      </c>
      <c r="M385" t="s">
        <v>26</v>
      </c>
      <c r="N385" t="s">
        <v>25</v>
      </c>
      <c r="O385" t="s">
        <v>41</v>
      </c>
      <c r="P385" t="s">
        <v>26</v>
      </c>
      <c r="Q385">
        <v>33</v>
      </c>
      <c r="R385" t="s">
        <v>29</v>
      </c>
      <c r="S385" s="2">
        <v>68.446797527915905</v>
      </c>
      <c r="T385" s="3">
        <v>3302.92146640072</v>
      </c>
      <c r="U385" s="4">
        <v>44661.525775222399</v>
      </c>
      <c r="V385" t="s">
        <v>25</v>
      </c>
      <c r="W385" t="s">
        <v>30</v>
      </c>
    </row>
    <row r="386" spans="1:23" x14ac:dyDescent="0.35">
      <c r="A386">
        <v>1386</v>
      </c>
      <c r="B386" t="s">
        <v>31</v>
      </c>
      <c r="C386" t="s">
        <v>25</v>
      </c>
      <c r="D386" t="s">
        <v>26</v>
      </c>
      <c r="E386" t="s">
        <v>26</v>
      </c>
      <c r="F386" t="s">
        <v>26</v>
      </c>
      <c r="G386" t="s">
        <v>26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26</v>
      </c>
      <c r="N386" t="s">
        <v>25</v>
      </c>
      <c r="O386" t="s">
        <v>28</v>
      </c>
      <c r="P386" t="s">
        <v>25</v>
      </c>
      <c r="Q386">
        <v>33</v>
      </c>
      <c r="R386" t="s">
        <v>39</v>
      </c>
      <c r="S386" s="2">
        <v>68.425389253134099</v>
      </c>
      <c r="T386" s="3">
        <v>3300.4491297709501</v>
      </c>
      <c r="U386" s="4">
        <v>44661.325552443202</v>
      </c>
      <c r="V386" t="s">
        <v>25</v>
      </c>
      <c r="W386" t="s">
        <v>30</v>
      </c>
    </row>
    <row r="387" spans="1:23" x14ac:dyDescent="0.35">
      <c r="A387">
        <v>1387</v>
      </c>
      <c r="B387" t="s">
        <v>31</v>
      </c>
      <c r="C387" t="s">
        <v>25</v>
      </c>
      <c r="D387" t="s">
        <v>25</v>
      </c>
      <c r="E387" t="s">
        <v>26</v>
      </c>
      <c r="F387" t="s">
        <v>26</v>
      </c>
      <c r="G387" t="s">
        <v>25</v>
      </c>
      <c r="H387" t="s">
        <v>27</v>
      </c>
      <c r="I387" t="s">
        <v>25</v>
      </c>
      <c r="J387" t="s">
        <v>26</v>
      </c>
      <c r="K387" t="s">
        <v>25</v>
      </c>
      <c r="L387" t="s">
        <v>25</v>
      </c>
      <c r="M387" t="s">
        <v>26</v>
      </c>
      <c r="N387" t="s">
        <v>25</v>
      </c>
      <c r="O387" t="s">
        <v>41</v>
      </c>
      <c r="P387" t="s">
        <v>26</v>
      </c>
      <c r="Q387">
        <v>33</v>
      </c>
      <c r="R387" t="s">
        <v>29</v>
      </c>
      <c r="S387" s="2">
        <v>68.403980978352394</v>
      </c>
      <c r="T387" s="3">
        <v>3297.9767931411702</v>
      </c>
      <c r="U387" s="4">
        <v>44661.125329663999</v>
      </c>
      <c r="V387" t="s">
        <v>25</v>
      </c>
      <c r="W387" t="s">
        <v>30</v>
      </c>
    </row>
    <row r="388" spans="1:23" x14ac:dyDescent="0.35">
      <c r="A388">
        <v>1388</v>
      </c>
      <c r="B388" t="s">
        <v>31</v>
      </c>
      <c r="C388" t="s">
        <v>25</v>
      </c>
      <c r="D388" t="s">
        <v>25</v>
      </c>
      <c r="E388" t="s">
        <v>25</v>
      </c>
      <c r="F388" t="s">
        <v>26</v>
      </c>
      <c r="G388" t="s">
        <v>25</v>
      </c>
      <c r="H388" t="s">
        <v>35</v>
      </c>
      <c r="I388" t="s">
        <v>26</v>
      </c>
      <c r="J388" t="s">
        <v>26</v>
      </c>
      <c r="K388" t="s">
        <v>26</v>
      </c>
      <c r="L388" t="s">
        <v>26</v>
      </c>
      <c r="M388" t="s">
        <v>25</v>
      </c>
      <c r="N388" t="s">
        <v>25</v>
      </c>
      <c r="O388" t="s">
        <v>45</v>
      </c>
      <c r="P388" t="s">
        <v>25</v>
      </c>
      <c r="Q388">
        <v>33</v>
      </c>
      <c r="R388" t="s">
        <v>29</v>
      </c>
      <c r="S388" s="2">
        <v>68.382572703570602</v>
      </c>
      <c r="T388" s="3">
        <v>3295.5044565113999</v>
      </c>
      <c r="U388" s="4">
        <v>44660.925106884897</v>
      </c>
      <c r="V388" t="s">
        <v>25</v>
      </c>
      <c r="W388" t="s">
        <v>30</v>
      </c>
    </row>
    <row r="389" spans="1:23" x14ac:dyDescent="0.35">
      <c r="A389">
        <v>1389</v>
      </c>
      <c r="B389" t="s">
        <v>31</v>
      </c>
      <c r="C389" t="s">
        <v>25</v>
      </c>
      <c r="D389" t="s">
        <v>25</v>
      </c>
      <c r="E389" t="s">
        <v>26</v>
      </c>
      <c r="F389" t="s">
        <v>26</v>
      </c>
      <c r="G389" t="s">
        <v>25</v>
      </c>
      <c r="H389" t="s">
        <v>27</v>
      </c>
      <c r="I389" t="s">
        <v>25</v>
      </c>
      <c r="J389" t="s">
        <v>26</v>
      </c>
      <c r="K389" t="s">
        <v>25</v>
      </c>
      <c r="L389" t="s">
        <v>25</v>
      </c>
      <c r="M389" t="s">
        <v>26</v>
      </c>
      <c r="N389" t="s">
        <v>26</v>
      </c>
      <c r="O389" t="s">
        <v>28</v>
      </c>
      <c r="P389" t="s">
        <v>25</v>
      </c>
      <c r="Q389">
        <v>33</v>
      </c>
      <c r="R389" t="s">
        <v>33</v>
      </c>
      <c r="S389" s="2">
        <v>68.361164428788797</v>
      </c>
      <c r="T389" s="3">
        <v>3293.03211988162</v>
      </c>
      <c r="U389" s="4">
        <v>44660.724884105701</v>
      </c>
      <c r="V389" t="s">
        <v>26</v>
      </c>
      <c r="W389" t="s">
        <v>30</v>
      </c>
    </row>
    <row r="390" spans="1:23" x14ac:dyDescent="0.35">
      <c r="A390">
        <v>1390</v>
      </c>
      <c r="B390" t="s">
        <v>34</v>
      </c>
      <c r="C390" t="s">
        <v>25</v>
      </c>
      <c r="D390" t="s">
        <v>25</v>
      </c>
      <c r="E390" t="s">
        <v>25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26</v>
      </c>
      <c r="L390" t="s">
        <v>25</v>
      </c>
      <c r="M390" t="s">
        <v>26</v>
      </c>
      <c r="N390" t="s">
        <v>25</v>
      </c>
      <c r="O390" t="s">
        <v>45</v>
      </c>
      <c r="P390" t="s">
        <v>25</v>
      </c>
      <c r="Q390">
        <v>33</v>
      </c>
      <c r="R390" t="s">
        <v>39</v>
      </c>
      <c r="S390" s="2">
        <v>68.339756154007105</v>
      </c>
      <c r="T390" s="3">
        <v>3290.5597832518501</v>
      </c>
      <c r="U390" s="4">
        <v>44660.524661326497</v>
      </c>
      <c r="V390" t="s">
        <v>25</v>
      </c>
      <c r="W390" t="s">
        <v>30</v>
      </c>
    </row>
    <row r="391" spans="1:23" x14ac:dyDescent="0.35">
      <c r="A391">
        <v>1391</v>
      </c>
      <c r="B391" t="s">
        <v>34</v>
      </c>
      <c r="C391" t="s">
        <v>25</v>
      </c>
      <c r="D391" t="s">
        <v>25</v>
      </c>
      <c r="E391" t="s">
        <v>25</v>
      </c>
      <c r="F391" t="s">
        <v>26</v>
      </c>
      <c r="G391" t="s">
        <v>25</v>
      </c>
      <c r="H391" t="s">
        <v>27</v>
      </c>
      <c r="I391" t="s">
        <v>25</v>
      </c>
      <c r="J391" t="s">
        <v>25</v>
      </c>
      <c r="K391" t="s">
        <v>25</v>
      </c>
      <c r="L391" t="s">
        <v>26</v>
      </c>
      <c r="M391" t="s">
        <v>26</v>
      </c>
      <c r="N391" t="s">
        <v>25</v>
      </c>
      <c r="O391" t="s">
        <v>41</v>
      </c>
      <c r="P391" t="s">
        <v>26</v>
      </c>
      <c r="Q391">
        <v>33</v>
      </c>
      <c r="R391" t="s">
        <v>39</v>
      </c>
      <c r="S391" s="2">
        <v>68.3183478792253</v>
      </c>
      <c r="T391" s="3">
        <v>3288.0874466220698</v>
      </c>
      <c r="U391" s="4">
        <v>44660.324438547403</v>
      </c>
      <c r="V391" t="s">
        <v>25</v>
      </c>
      <c r="W391" t="s">
        <v>30</v>
      </c>
    </row>
    <row r="392" spans="1:23" x14ac:dyDescent="0.35">
      <c r="A392">
        <v>1392</v>
      </c>
      <c r="B392" t="s">
        <v>34</v>
      </c>
      <c r="C392" t="s">
        <v>25</v>
      </c>
      <c r="D392" t="s">
        <v>25</v>
      </c>
      <c r="E392" t="s">
        <v>25</v>
      </c>
      <c r="F392" t="s">
        <v>25</v>
      </c>
      <c r="G392" t="s">
        <v>25</v>
      </c>
      <c r="H392" t="s">
        <v>27</v>
      </c>
      <c r="I392" t="s">
        <v>25</v>
      </c>
      <c r="J392" t="s">
        <v>26</v>
      </c>
      <c r="K392" t="s">
        <v>25</v>
      </c>
      <c r="L392" t="s">
        <v>26</v>
      </c>
      <c r="M392" t="s">
        <v>26</v>
      </c>
      <c r="N392" t="s">
        <v>26</v>
      </c>
      <c r="O392" t="s">
        <v>41</v>
      </c>
      <c r="P392" t="s">
        <v>25</v>
      </c>
      <c r="Q392">
        <v>33</v>
      </c>
      <c r="R392" t="s">
        <v>33</v>
      </c>
      <c r="S392" s="2">
        <v>68.296939604443594</v>
      </c>
      <c r="T392" s="3">
        <v>3285.6151099922999</v>
      </c>
      <c r="U392" s="4">
        <v>44660.124215768199</v>
      </c>
      <c r="V392" t="s">
        <v>25</v>
      </c>
      <c r="W392" t="s">
        <v>30</v>
      </c>
    </row>
    <row r="393" spans="1:23" x14ac:dyDescent="0.35">
      <c r="A393">
        <v>1393</v>
      </c>
      <c r="B393" t="s">
        <v>34</v>
      </c>
      <c r="C393" t="s">
        <v>25</v>
      </c>
      <c r="D393" t="s">
        <v>26</v>
      </c>
      <c r="E393" t="s">
        <v>26</v>
      </c>
      <c r="F393" t="s">
        <v>26</v>
      </c>
      <c r="G393" t="s">
        <v>25</v>
      </c>
      <c r="H393" t="s">
        <v>35</v>
      </c>
      <c r="I393" t="s">
        <v>25</v>
      </c>
      <c r="J393" t="s">
        <v>25</v>
      </c>
      <c r="K393" t="s">
        <v>25</v>
      </c>
      <c r="L393" t="s">
        <v>26</v>
      </c>
      <c r="M393" t="s">
        <v>25</v>
      </c>
      <c r="N393" t="s">
        <v>25</v>
      </c>
      <c r="O393" t="s">
        <v>41</v>
      </c>
      <c r="P393" t="s">
        <v>26</v>
      </c>
      <c r="Q393">
        <v>33</v>
      </c>
      <c r="R393" t="s">
        <v>49</v>
      </c>
      <c r="S393" s="2">
        <v>68.275531329661803</v>
      </c>
      <c r="T393" s="3">
        <v>3283.1427733625201</v>
      </c>
      <c r="U393" s="4">
        <v>44659.923992989003</v>
      </c>
      <c r="V393" t="s">
        <v>25</v>
      </c>
      <c r="W393" t="s">
        <v>30</v>
      </c>
    </row>
    <row r="394" spans="1:23" x14ac:dyDescent="0.35">
      <c r="A394">
        <v>1394</v>
      </c>
      <c r="B394" t="s">
        <v>31</v>
      </c>
      <c r="C394" t="s">
        <v>25</v>
      </c>
      <c r="D394" t="s">
        <v>26</v>
      </c>
      <c r="E394" t="s">
        <v>25</v>
      </c>
      <c r="F394" t="s">
        <v>26</v>
      </c>
      <c r="G394" t="s">
        <v>25</v>
      </c>
      <c r="H394" t="s">
        <v>27</v>
      </c>
      <c r="I394" t="s">
        <v>25</v>
      </c>
      <c r="J394" t="s">
        <v>25</v>
      </c>
      <c r="K394" t="s">
        <v>25</v>
      </c>
      <c r="L394" t="s">
        <v>25</v>
      </c>
      <c r="M394" t="s">
        <v>26</v>
      </c>
      <c r="N394" t="s">
        <v>25</v>
      </c>
      <c r="O394" t="s">
        <v>28</v>
      </c>
      <c r="P394" t="s">
        <v>26</v>
      </c>
      <c r="Q394">
        <v>33</v>
      </c>
      <c r="R394" t="s">
        <v>39</v>
      </c>
      <c r="S394" s="2">
        <v>68.254123054880097</v>
      </c>
      <c r="T394" s="3">
        <v>3280.6704367327502</v>
      </c>
      <c r="U394" s="4">
        <v>44659.723770209799</v>
      </c>
      <c r="V394" t="s">
        <v>25</v>
      </c>
      <c r="W394" t="s">
        <v>30</v>
      </c>
    </row>
    <row r="395" spans="1:23" x14ac:dyDescent="0.35">
      <c r="A395">
        <v>1395</v>
      </c>
      <c r="B395" t="s">
        <v>34</v>
      </c>
      <c r="C395" t="s">
        <v>25</v>
      </c>
      <c r="D395" t="s">
        <v>25</v>
      </c>
      <c r="E395" t="s">
        <v>25</v>
      </c>
      <c r="F395" t="s">
        <v>25</v>
      </c>
      <c r="G395" t="s">
        <v>26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26</v>
      </c>
      <c r="N395" t="s">
        <v>26</v>
      </c>
      <c r="O395" t="s">
        <v>41</v>
      </c>
      <c r="P395" t="s">
        <v>26</v>
      </c>
      <c r="Q395">
        <v>33</v>
      </c>
      <c r="R395" t="s">
        <v>33</v>
      </c>
      <c r="S395" s="2">
        <v>68.232714780098306</v>
      </c>
      <c r="T395" s="3">
        <v>3278.1981001029699</v>
      </c>
      <c r="U395" s="4">
        <v>44659.523547430697</v>
      </c>
      <c r="V395" t="s">
        <v>25</v>
      </c>
      <c r="W395" t="s">
        <v>30</v>
      </c>
    </row>
    <row r="396" spans="1:23" x14ac:dyDescent="0.35">
      <c r="A396">
        <v>1396</v>
      </c>
      <c r="B396" t="s">
        <v>34</v>
      </c>
      <c r="C396" t="s">
        <v>25</v>
      </c>
      <c r="D396" t="s">
        <v>26</v>
      </c>
      <c r="E396" t="s">
        <v>25</v>
      </c>
      <c r="F396" t="s">
        <v>26</v>
      </c>
      <c r="G396" t="s">
        <v>25</v>
      </c>
      <c r="H396" t="s">
        <v>27</v>
      </c>
      <c r="I396" t="s">
        <v>25</v>
      </c>
      <c r="J396" t="s">
        <v>25</v>
      </c>
      <c r="K396" t="s">
        <v>25</v>
      </c>
      <c r="L396" t="s">
        <v>26</v>
      </c>
      <c r="M396" t="s">
        <v>26</v>
      </c>
      <c r="N396" t="s">
        <v>25</v>
      </c>
      <c r="O396" t="s">
        <v>28</v>
      </c>
      <c r="P396" t="s">
        <v>25</v>
      </c>
      <c r="Q396">
        <v>33</v>
      </c>
      <c r="R396" t="s">
        <v>39</v>
      </c>
      <c r="S396" s="2">
        <v>68.2113065053166</v>
      </c>
      <c r="T396" s="3">
        <v>3275.7257634732</v>
      </c>
      <c r="U396" s="4">
        <v>44659.323324651501</v>
      </c>
      <c r="V396" t="s">
        <v>25</v>
      </c>
      <c r="W396" t="s">
        <v>30</v>
      </c>
    </row>
    <row r="397" spans="1:23" x14ac:dyDescent="0.35">
      <c r="A397">
        <v>1397</v>
      </c>
      <c r="B397" t="s">
        <v>34</v>
      </c>
      <c r="C397" t="s">
        <v>25</v>
      </c>
      <c r="D397" t="s">
        <v>26</v>
      </c>
      <c r="E397" t="s">
        <v>26</v>
      </c>
      <c r="F397" t="s">
        <v>26</v>
      </c>
      <c r="G397" t="s">
        <v>25</v>
      </c>
      <c r="H397" t="s">
        <v>25</v>
      </c>
      <c r="I397" t="s">
        <v>26</v>
      </c>
      <c r="J397" t="s">
        <v>26</v>
      </c>
      <c r="K397" t="s">
        <v>26</v>
      </c>
      <c r="L397" t="s">
        <v>25</v>
      </c>
      <c r="M397" t="s">
        <v>26</v>
      </c>
      <c r="N397" t="s">
        <v>25</v>
      </c>
      <c r="O397" t="s">
        <v>28</v>
      </c>
      <c r="P397" t="s">
        <v>25</v>
      </c>
      <c r="Q397">
        <v>33</v>
      </c>
      <c r="R397" t="s">
        <v>39</v>
      </c>
      <c r="S397" s="2">
        <v>68.189898230534794</v>
      </c>
      <c r="T397" s="3">
        <v>3273.2534268434201</v>
      </c>
      <c r="U397" s="4">
        <v>44659.123101872297</v>
      </c>
      <c r="V397" t="s">
        <v>25</v>
      </c>
      <c r="W397" t="s">
        <v>30</v>
      </c>
    </row>
    <row r="398" spans="1:23" x14ac:dyDescent="0.35">
      <c r="A398">
        <v>1398</v>
      </c>
      <c r="B398" t="s">
        <v>31</v>
      </c>
      <c r="C398" t="s">
        <v>25</v>
      </c>
      <c r="D398" t="s">
        <v>26</v>
      </c>
      <c r="E398" t="s">
        <v>25</v>
      </c>
      <c r="F398" t="s">
        <v>25</v>
      </c>
      <c r="G398" t="s">
        <v>26</v>
      </c>
      <c r="H398" t="s">
        <v>27</v>
      </c>
      <c r="I398" t="s">
        <v>26</v>
      </c>
      <c r="J398" t="s">
        <v>26</v>
      </c>
      <c r="K398" t="s">
        <v>26</v>
      </c>
      <c r="L398" t="s">
        <v>25</v>
      </c>
      <c r="M398" t="s">
        <v>26</v>
      </c>
      <c r="N398" t="s">
        <v>25</v>
      </c>
      <c r="O398" t="s">
        <v>48</v>
      </c>
      <c r="P398" t="s">
        <v>25</v>
      </c>
      <c r="Q398">
        <v>33</v>
      </c>
      <c r="R398" t="s">
        <v>39</v>
      </c>
      <c r="S398" s="2">
        <v>68.168489955753103</v>
      </c>
      <c r="T398" s="3">
        <v>3270.7810902136498</v>
      </c>
      <c r="U398" s="4">
        <v>44658.922879093203</v>
      </c>
      <c r="V398" t="s">
        <v>25</v>
      </c>
      <c r="W398" t="s">
        <v>30</v>
      </c>
    </row>
    <row r="399" spans="1:23" x14ac:dyDescent="0.35">
      <c r="A399">
        <v>1399</v>
      </c>
      <c r="B399" t="s">
        <v>31</v>
      </c>
      <c r="C399" t="s">
        <v>25</v>
      </c>
      <c r="D399" t="s">
        <v>26</v>
      </c>
      <c r="E399" t="s">
        <v>26</v>
      </c>
      <c r="F399" t="s">
        <v>26</v>
      </c>
      <c r="G399" t="s">
        <v>25</v>
      </c>
      <c r="H399" t="s">
        <v>35</v>
      </c>
      <c r="I399" t="s">
        <v>25</v>
      </c>
      <c r="J399" t="s">
        <v>25</v>
      </c>
      <c r="K399" t="s">
        <v>25</v>
      </c>
      <c r="L399" t="s">
        <v>25</v>
      </c>
      <c r="M399" t="s">
        <v>26</v>
      </c>
      <c r="N399" t="s">
        <v>25</v>
      </c>
      <c r="O399" t="s">
        <v>41</v>
      </c>
      <c r="P399" t="s">
        <v>26</v>
      </c>
      <c r="Q399">
        <v>33</v>
      </c>
      <c r="R399" t="s">
        <v>39</v>
      </c>
      <c r="S399" s="2">
        <v>68.147081680971297</v>
      </c>
      <c r="T399" s="3">
        <v>3268.3087535838699</v>
      </c>
      <c r="U399" s="4">
        <v>44658.722656313999</v>
      </c>
      <c r="V399" t="s">
        <v>25</v>
      </c>
      <c r="W399" t="s">
        <v>30</v>
      </c>
    </row>
    <row r="400" spans="1:23" x14ac:dyDescent="0.35">
      <c r="A400">
        <v>1400</v>
      </c>
      <c r="B400" t="s">
        <v>34</v>
      </c>
      <c r="C400" t="s">
        <v>25</v>
      </c>
      <c r="D400" t="s">
        <v>25</v>
      </c>
      <c r="E400" t="s">
        <v>26</v>
      </c>
      <c r="F400" t="s">
        <v>26</v>
      </c>
      <c r="G400" t="s">
        <v>25</v>
      </c>
      <c r="H400" t="s">
        <v>25</v>
      </c>
      <c r="I400" t="s">
        <v>26</v>
      </c>
      <c r="J400" t="s">
        <v>25</v>
      </c>
      <c r="K400" t="s">
        <v>26</v>
      </c>
      <c r="L400" t="s">
        <v>26</v>
      </c>
      <c r="M400" t="s">
        <v>26</v>
      </c>
      <c r="N400" t="s">
        <v>25</v>
      </c>
      <c r="O400" t="s">
        <v>41</v>
      </c>
      <c r="P400" t="s">
        <v>26</v>
      </c>
      <c r="Q400">
        <v>33</v>
      </c>
      <c r="R400" t="s">
        <v>39</v>
      </c>
      <c r="S400" s="2">
        <v>68.125673406189605</v>
      </c>
      <c r="T400" s="3">
        <v>3265.8364169541001</v>
      </c>
      <c r="U400" s="4">
        <v>44658.522433534803</v>
      </c>
      <c r="V400" t="s">
        <v>25</v>
      </c>
      <c r="W400" t="s">
        <v>30</v>
      </c>
    </row>
    <row r="401" spans="1:23" x14ac:dyDescent="0.35">
      <c r="A401">
        <v>1401</v>
      </c>
      <c r="B401" t="s">
        <v>34</v>
      </c>
      <c r="C401" t="s">
        <v>25</v>
      </c>
      <c r="D401" t="s">
        <v>25</v>
      </c>
      <c r="E401" t="s">
        <v>25</v>
      </c>
      <c r="F401" t="s">
        <v>26</v>
      </c>
      <c r="G401" t="s">
        <v>26</v>
      </c>
      <c r="H401" t="s">
        <v>35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41</v>
      </c>
      <c r="P401" t="s">
        <v>25</v>
      </c>
      <c r="Q401">
        <v>33</v>
      </c>
      <c r="R401" t="s">
        <v>33</v>
      </c>
      <c r="S401" s="2">
        <v>68.1042651314078</v>
      </c>
      <c r="T401" s="3">
        <v>3263.3640803243302</v>
      </c>
      <c r="U401" s="4">
        <v>44658.322210755701</v>
      </c>
      <c r="V401" t="s">
        <v>25</v>
      </c>
      <c r="W401" t="s">
        <v>30</v>
      </c>
    </row>
    <row r="402" spans="1:23" x14ac:dyDescent="0.35">
      <c r="A402">
        <v>1402</v>
      </c>
      <c r="B402" t="s">
        <v>31</v>
      </c>
      <c r="C402" t="s">
        <v>25</v>
      </c>
      <c r="D402" t="s">
        <v>25</v>
      </c>
      <c r="E402" t="s">
        <v>25</v>
      </c>
      <c r="F402" t="s">
        <v>26</v>
      </c>
      <c r="G402" t="s">
        <v>26</v>
      </c>
      <c r="H402" t="s">
        <v>27</v>
      </c>
      <c r="I402" t="s">
        <v>25</v>
      </c>
      <c r="J402" t="s">
        <v>26</v>
      </c>
      <c r="K402" t="s">
        <v>25</v>
      </c>
      <c r="L402" t="s">
        <v>26</v>
      </c>
      <c r="M402" t="s">
        <v>25</v>
      </c>
      <c r="N402" t="s">
        <v>25</v>
      </c>
      <c r="O402" t="s">
        <v>48</v>
      </c>
      <c r="P402" t="s">
        <v>26</v>
      </c>
      <c r="Q402">
        <v>33</v>
      </c>
      <c r="R402" t="s">
        <v>29</v>
      </c>
      <c r="S402" s="2">
        <v>68.082856856626094</v>
      </c>
      <c r="T402" s="3">
        <v>3260.8917436945499</v>
      </c>
      <c r="U402" s="4">
        <v>44658.121987976498</v>
      </c>
      <c r="V402" t="s">
        <v>25</v>
      </c>
      <c r="W402" t="s">
        <v>30</v>
      </c>
    </row>
    <row r="403" spans="1:23" x14ac:dyDescent="0.35">
      <c r="A403">
        <v>1403</v>
      </c>
      <c r="B403" t="s">
        <v>34</v>
      </c>
      <c r="C403" t="s">
        <v>25</v>
      </c>
      <c r="D403" t="s">
        <v>25</v>
      </c>
      <c r="E403" t="s">
        <v>26</v>
      </c>
      <c r="F403" t="s">
        <v>26</v>
      </c>
      <c r="G403" t="s">
        <v>25</v>
      </c>
      <c r="H403" t="s">
        <v>35</v>
      </c>
      <c r="I403" t="s">
        <v>26</v>
      </c>
      <c r="J403" t="s">
        <v>25</v>
      </c>
      <c r="K403" t="s">
        <v>26</v>
      </c>
      <c r="L403" t="s">
        <v>25</v>
      </c>
      <c r="M403" t="s">
        <v>25</v>
      </c>
      <c r="N403" t="s">
        <v>25</v>
      </c>
      <c r="O403" t="s">
        <v>28</v>
      </c>
      <c r="P403" t="s">
        <v>26</v>
      </c>
      <c r="Q403">
        <v>33</v>
      </c>
      <c r="R403" t="s">
        <v>39</v>
      </c>
      <c r="S403" s="2">
        <v>68.061448581844303</v>
      </c>
      <c r="T403" s="3">
        <v>3258.41940706478</v>
      </c>
      <c r="U403" s="4">
        <v>44657.921765197301</v>
      </c>
      <c r="V403" t="s">
        <v>25</v>
      </c>
      <c r="W403" t="s">
        <v>30</v>
      </c>
    </row>
    <row r="404" spans="1:23" x14ac:dyDescent="0.35">
      <c r="A404">
        <v>1404</v>
      </c>
      <c r="B404" t="s">
        <v>34</v>
      </c>
      <c r="C404" t="s">
        <v>25</v>
      </c>
      <c r="D404" t="s">
        <v>26</v>
      </c>
      <c r="E404" t="s">
        <v>25</v>
      </c>
      <c r="F404" t="s">
        <v>26</v>
      </c>
      <c r="G404" t="s">
        <v>26</v>
      </c>
      <c r="H404" t="s">
        <v>25</v>
      </c>
      <c r="I404" t="s">
        <v>26</v>
      </c>
      <c r="J404" t="s">
        <v>25</v>
      </c>
      <c r="K404" t="s">
        <v>25</v>
      </c>
      <c r="L404" t="s">
        <v>26</v>
      </c>
      <c r="M404" t="s">
        <v>25</v>
      </c>
      <c r="N404" t="s">
        <v>25</v>
      </c>
      <c r="O404" t="s">
        <v>41</v>
      </c>
      <c r="P404" t="s">
        <v>26</v>
      </c>
      <c r="Q404">
        <v>33</v>
      </c>
      <c r="R404" t="s">
        <v>49</v>
      </c>
      <c r="S404" s="2">
        <v>68.040040307062597</v>
      </c>
      <c r="T404" s="3">
        <v>3255.9470704350001</v>
      </c>
      <c r="U404" s="4">
        <v>44657.721542418098</v>
      </c>
      <c r="V404" t="s">
        <v>25</v>
      </c>
      <c r="W404" t="s">
        <v>30</v>
      </c>
    </row>
    <row r="405" spans="1:23" x14ac:dyDescent="0.35">
      <c r="A405">
        <v>1405</v>
      </c>
      <c r="B405" t="s">
        <v>31</v>
      </c>
      <c r="C405" t="s">
        <v>25</v>
      </c>
      <c r="D405" t="s">
        <v>25</v>
      </c>
      <c r="E405" t="s">
        <v>26</v>
      </c>
      <c r="F405" t="s">
        <v>26</v>
      </c>
      <c r="G405" t="s">
        <v>26</v>
      </c>
      <c r="H405" t="s">
        <v>25</v>
      </c>
      <c r="I405" t="s">
        <v>26</v>
      </c>
      <c r="J405" t="s">
        <v>25</v>
      </c>
      <c r="K405" t="s">
        <v>25</v>
      </c>
      <c r="L405" t="s">
        <v>25</v>
      </c>
      <c r="M405" t="s">
        <v>25</v>
      </c>
      <c r="N405" t="s">
        <v>26</v>
      </c>
      <c r="O405" t="s">
        <v>45</v>
      </c>
      <c r="P405" t="s">
        <v>25</v>
      </c>
      <c r="Q405">
        <v>33</v>
      </c>
      <c r="R405" t="s">
        <v>49</v>
      </c>
      <c r="S405" s="2">
        <v>68.018632032280806</v>
      </c>
      <c r="T405" s="3">
        <v>3253.4747338052298</v>
      </c>
      <c r="U405" s="4">
        <v>44657.521319639003</v>
      </c>
      <c r="V405" t="s">
        <v>25</v>
      </c>
      <c r="W405" t="s">
        <v>30</v>
      </c>
    </row>
    <row r="406" spans="1:23" x14ac:dyDescent="0.35">
      <c r="A406">
        <v>1406</v>
      </c>
      <c r="B406" t="s">
        <v>31</v>
      </c>
      <c r="C406" t="s">
        <v>25</v>
      </c>
      <c r="D406" t="s">
        <v>25</v>
      </c>
      <c r="E406" t="s">
        <v>25</v>
      </c>
      <c r="F406" t="s">
        <v>25</v>
      </c>
      <c r="G406" t="s">
        <v>26</v>
      </c>
      <c r="H406" t="s">
        <v>27</v>
      </c>
      <c r="I406" t="s">
        <v>25</v>
      </c>
      <c r="J406" t="s">
        <v>25</v>
      </c>
      <c r="K406" t="s">
        <v>25</v>
      </c>
      <c r="L406" t="s">
        <v>25</v>
      </c>
      <c r="M406" t="s">
        <v>26</v>
      </c>
      <c r="N406" t="s">
        <v>26</v>
      </c>
      <c r="O406" t="s">
        <v>45</v>
      </c>
      <c r="P406" t="s">
        <v>26</v>
      </c>
      <c r="Q406">
        <v>33</v>
      </c>
      <c r="R406" t="s">
        <v>49</v>
      </c>
      <c r="S406" s="2">
        <v>67.997223757499</v>
      </c>
      <c r="T406" s="3">
        <v>3251.0023971754499</v>
      </c>
      <c r="U406" s="4">
        <v>44657.3210968598</v>
      </c>
      <c r="V406" t="s">
        <v>25</v>
      </c>
      <c r="W406" t="s">
        <v>30</v>
      </c>
    </row>
    <row r="407" spans="1:23" x14ac:dyDescent="0.35">
      <c r="A407">
        <v>1407</v>
      </c>
      <c r="B407" t="s">
        <v>31</v>
      </c>
      <c r="C407" t="s">
        <v>25</v>
      </c>
      <c r="D407" t="s">
        <v>26</v>
      </c>
      <c r="E407" t="s">
        <v>25</v>
      </c>
      <c r="F407" t="s">
        <v>26</v>
      </c>
      <c r="G407" t="s">
        <v>25</v>
      </c>
      <c r="H407" t="s">
        <v>25</v>
      </c>
      <c r="I407" t="s">
        <v>26</v>
      </c>
      <c r="J407" t="s">
        <v>25</v>
      </c>
      <c r="K407" t="s">
        <v>25</v>
      </c>
      <c r="L407" t="s">
        <v>26</v>
      </c>
      <c r="M407" t="s">
        <v>26</v>
      </c>
      <c r="N407" t="s">
        <v>25</v>
      </c>
      <c r="O407" t="s">
        <v>28</v>
      </c>
      <c r="P407" t="s">
        <v>25</v>
      </c>
      <c r="Q407">
        <v>33</v>
      </c>
      <c r="R407" t="s">
        <v>39</v>
      </c>
      <c r="S407" s="2">
        <v>67.975815482717294</v>
      </c>
      <c r="T407" s="3">
        <v>3248.53006054568</v>
      </c>
      <c r="U407" s="4">
        <v>44657.120874080603</v>
      </c>
      <c r="V407" t="s">
        <v>25</v>
      </c>
      <c r="W407" t="s">
        <v>30</v>
      </c>
    </row>
    <row r="408" spans="1:23" x14ac:dyDescent="0.35">
      <c r="A408">
        <v>1408</v>
      </c>
      <c r="B408" t="s">
        <v>31</v>
      </c>
      <c r="C408" t="s">
        <v>25</v>
      </c>
      <c r="D408" t="s">
        <v>26</v>
      </c>
      <c r="E408" t="s">
        <v>25</v>
      </c>
      <c r="F408" t="s">
        <v>26</v>
      </c>
      <c r="G408" t="s">
        <v>25</v>
      </c>
      <c r="H408" t="s">
        <v>27</v>
      </c>
      <c r="I408" t="s">
        <v>25</v>
      </c>
      <c r="J408" t="s">
        <v>26</v>
      </c>
      <c r="K408" t="s">
        <v>26</v>
      </c>
      <c r="L408" t="s">
        <v>26</v>
      </c>
      <c r="M408" t="s">
        <v>25</v>
      </c>
      <c r="N408" t="s">
        <v>25</v>
      </c>
      <c r="O408" t="s">
        <v>28</v>
      </c>
      <c r="P408" t="s">
        <v>26</v>
      </c>
      <c r="Q408">
        <v>33</v>
      </c>
      <c r="R408" t="s">
        <v>49</v>
      </c>
      <c r="S408" s="2">
        <v>67.954407207935503</v>
      </c>
      <c r="T408" s="3">
        <v>3246.0577239159002</v>
      </c>
      <c r="U408" s="4">
        <v>44656.920651301501</v>
      </c>
      <c r="V408" t="s">
        <v>25</v>
      </c>
      <c r="W408" t="s">
        <v>30</v>
      </c>
    </row>
    <row r="409" spans="1:23" x14ac:dyDescent="0.35">
      <c r="A409">
        <v>1409</v>
      </c>
      <c r="B409" t="s">
        <v>34</v>
      </c>
      <c r="C409" t="s">
        <v>25</v>
      </c>
      <c r="D409" t="s">
        <v>25</v>
      </c>
      <c r="E409" t="s">
        <v>25</v>
      </c>
      <c r="F409" t="s">
        <v>26</v>
      </c>
      <c r="G409" t="s">
        <v>25</v>
      </c>
      <c r="H409" t="s">
        <v>27</v>
      </c>
      <c r="I409" t="s">
        <v>25</v>
      </c>
      <c r="J409" t="s">
        <v>25</v>
      </c>
      <c r="K409" t="s">
        <v>26</v>
      </c>
      <c r="L409" t="s">
        <v>26</v>
      </c>
      <c r="M409" t="s">
        <v>26</v>
      </c>
      <c r="N409" t="s">
        <v>25</v>
      </c>
      <c r="O409" t="s">
        <v>45</v>
      </c>
      <c r="P409" t="s">
        <v>25</v>
      </c>
      <c r="Q409">
        <v>33</v>
      </c>
      <c r="R409" t="s">
        <v>39</v>
      </c>
      <c r="S409" s="2">
        <v>67.932998933153797</v>
      </c>
      <c r="T409" s="3">
        <v>3243.5853872861298</v>
      </c>
      <c r="U409" s="4">
        <v>44656.720428522298</v>
      </c>
      <c r="V409" t="s">
        <v>25</v>
      </c>
      <c r="W409" t="s">
        <v>30</v>
      </c>
    </row>
    <row r="410" spans="1:23" x14ac:dyDescent="0.35">
      <c r="A410">
        <v>1410</v>
      </c>
      <c r="B410" t="s">
        <v>34</v>
      </c>
      <c r="C410" t="s">
        <v>25</v>
      </c>
      <c r="D410" t="s">
        <v>26</v>
      </c>
      <c r="E410" t="s">
        <v>25</v>
      </c>
      <c r="F410" t="s">
        <v>25</v>
      </c>
      <c r="G410" t="s">
        <v>25</v>
      </c>
      <c r="H410" t="s">
        <v>25</v>
      </c>
      <c r="I410" t="s">
        <v>26</v>
      </c>
      <c r="J410" t="s">
        <v>25</v>
      </c>
      <c r="K410" t="s">
        <v>26</v>
      </c>
      <c r="L410" t="s">
        <v>25</v>
      </c>
      <c r="M410" t="s">
        <v>25</v>
      </c>
      <c r="N410" t="s">
        <v>26</v>
      </c>
      <c r="O410" t="s">
        <v>28</v>
      </c>
      <c r="P410" t="s">
        <v>26</v>
      </c>
      <c r="Q410">
        <v>33</v>
      </c>
      <c r="R410" t="s">
        <v>29</v>
      </c>
      <c r="S410" s="2">
        <v>67.911590658372006</v>
      </c>
      <c r="T410" s="3">
        <v>3241.11305065635</v>
      </c>
      <c r="U410" s="4">
        <v>44656.520205743102</v>
      </c>
      <c r="V410" t="s">
        <v>25</v>
      </c>
      <c r="W410" t="s">
        <v>30</v>
      </c>
    </row>
    <row r="411" spans="1:23" x14ac:dyDescent="0.35">
      <c r="A411">
        <v>1411</v>
      </c>
      <c r="B411" t="s">
        <v>31</v>
      </c>
      <c r="C411" t="s">
        <v>25</v>
      </c>
      <c r="D411" t="s">
        <v>26</v>
      </c>
      <c r="E411" t="s">
        <v>25</v>
      </c>
      <c r="F411" t="s">
        <v>26</v>
      </c>
      <c r="G411" t="s">
        <v>26</v>
      </c>
      <c r="H411" t="s">
        <v>27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41</v>
      </c>
      <c r="P411" t="s">
        <v>26</v>
      </c>
      <c r="Q411">
        <v>33</v>
      </c>
      <c r="R411" t="s">
        <v>29</v>
      </c>
      <c r="S411" s="2">
        <v>67.8901823835903</v>
      </c>
      <c r="T411" s="3">
        <v>3238.6407140265801</v>
      </c>
      <c r="U411" s="4">
        <v>44656.319982963898</v>
      </c>
      <c r="V411" t="s">
        <v>25</v>
      </c>
      <c r="W411" t="s">
        <v>30</v>
      </c>
    </row>
    <row r="412" spans="1:23" x14ac:dyDescent="0.35">
      <c r="A412">
        <v>1412</v>
      </c>
      <c r="B412" t="s">
        <v>34</v>
      </c>
      <c r="C412" t="s">
        <v>25</v>
      </c>
      <c r="D412" t="s">
        <v>25</v>
      </c>
      <c r="E412" t="s">
        <v>25</v>
      </c>
      <c r="F412" t="s">
        <v>26</v>
      </c>
      <c r="G412" t="s">
        <v>25</v>
      </c>
      <c r="H412" t="s">
        <v>35</v>
      </c>
      <c r="I412" t="s">
        <v>26</v>
      </c>
      <c r="J412" t="s">
        <v>26</v>
      </c>
      <c r="K412" t="s">
        <v>26</v>
      </c>
      <c r="L412" t="s">
        <v>25</v>
      </c>
      <c r="M412" t="s">
        <v>26</v>
      </c>
      <c r="N412" t="s">
        <v>26</v>
      </c>
      <c r="O412" t="s">
        <v>41</v>
      </c>
      <c r="P412" t="s">
        <v>26</v>
      </c>
      <c r="Q412">
        <v>33</v>
      </c>
      <c r="R412" t="s">
        <v>49</v>
      </c>
      <c r="S412" s="2">
        <v>67.868774108808495</v>
      </c>
      <c r="T412" s="3">
        <v>3236.1683773968002</v>
      </c>
      <c r="U412" s="4">
        <v>44656.119760184803</v>
      </c>
      <c r="V412" t="s">
        <v>25</v>
      </c>
      <c r="W412" t="s">
        <v>30</v>
      </c>
    </row>
    <row r="413" spans="1:23" x14ac:dyDescent="0.35">
      <c r="A413">
        <v>1413</v>
      </c>
      <c r="B413" t="s">
        <v>31</v>
      </c>
      <c r="C413" t="s">
        <v>25</v>
      </c>
      <c r="D413" t="s">
        <v>25</v>
      </c>
      <c r="E413" t="s">
        <v>25</v>
      </c>
      <c r="F413" t="s">
        <v>26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41</v>
      </c>
      <c r="P413" t="s">
        <v>25</v>
      </c>
      <c r="Q413">
        <v>33</v>
      </c>
      <c r="R413" t="s">
        <v>33</v>
      </c>
      <c r="S413" s="2">
        <v>67.847365834026803</v>
      </c>
      <c r="T413" s="3">
        <v>3233.6960407670299</v>
      </c>
      <c r="U413" s="4">
        <v>44655.9195374056</v>
      </c>
      <c r="V413" t="s">
        <v>25</v>
      </c>
      <c r="W413" t="s">
        <v>30</v>
      </c>
    </row>
    <row r="414" spans="1:23" x14ac:dyDescent="0.35">
      <c r="A414">
        <v>1414</v>
      </c>
      <c r="B414" t="s">
        <v>31</v>
      </c>
      <c r="C414" t="s">
        <v>25</v>
      </c>
      <c r="D414" t="s">
        <v>25</v>
      </c>
      <c r="E414" t="s">
        <v>26</v>
      </c>
      <c r="F414" t="s">
        <v>26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41</v>
      </c>
      <c r="P414" t="s">
        <v>26</v>
      </c>
      <c r="Q414">
        <v>33</v>
      </c>
      <c r="R414" t="s">
        <v>29</v>
      </c>
      <c r="S414" s="2">
        <v>67.825957559244998</v>
      </c>
      <c r="T414" s="3">
        <v>3231.22370413725</v>
      </c>
      <c r="U414" s="4">
        <v>44655.719314626404</v>
      </c>
      <c r="V414" t="s">
        <v>25</v>
      </c>
      <c r="W414" t="s">
        <v>30</v>
      </c>
    </row>
    <row r="415" spans="1:23" x14ac:dyDescent="0.35">
      <c r="A415">
        <v>1415</v>
      </c>
      <c r="B415" t="s">
        <v>31</v>
      </c>
      <c r="C415" t="s">
        <v>25</v>
      </c>
      <c r="D415" t="s">
        <v>26</v>
      </c>
      <c r="E415" t="s">
        <v>25</v>
      </c>
      <c r="F415" t="s">
        <v>26</v>
      </c>
      <c r="G415" t="s">
        <v>26</v>
      </c>
      <c r="H415" t="s">
        <v>27</v>
      </c>
      <c r="I415" t="s">
        <v>25</v>
      </c>
      <c r="J415" t="s">
        <v>25</v>
      </c>
      <c r="K415" t="s">
        <v>25</v>
      </c>
      <c r="L415" t="s">
        <v>25</v>
      </c>
      <c r="M415" t="s">
        <v>26</v>
      </c>
      <c r="N415" t="s">
        <v>25</v>
      </c>
      <c r="O415" t="s">
        <v>45</v>
      </c>
      <c r="P415" t="s">
        <v>26</v>
      </c>
      <c r="Q415">
        <v>33</v>
      </c>
      <c r="R415" t="s">
        <v>39</v>
      </c>
      <c r="S415" s="2">
        <v>67.804549284463306</v>
      </c>
      <c r="T415" s="3">
        <v>3228.7513675074802</v>
      </c>
      <c r="U415" s="4">
        <v>44655.519091847302</v>
      </c>
      <c r="V415" t="s">
        <v>25</v>
      </c>
      <c r="W415" t="s">
        <v>30</v>
      </c>
    </row>
    <row r="416" spans="1:23" x14ac:dyDescent="0.35">
      <c r="A416">
        <v>1416</v>
      </c>
      <c r="B416" t="s">
        <v>31</v>
      </c>
      <c r="C416" t="s">
        <v>25</v>
      </c>
      <c r="D416" t="s">
        <v>26</v>
      </c>
      <c r="E416" t="s">
        <v>25</v>
      </c>
      <c r="F416" t="s">
        <v>25</v>
      </c>
      <c r="G416" t="s">
        <v>26</v>
      </c>
      <c r="H416" t="s">
        <v>27</v>
      </c>
      <c r="I416" t="s">
        <v>26</v>
      </c>
      <c r="J416" t="s">
        <v>26</v>
      </c>
      <c r="K416" t="s">
        <v>26</v>
      </c>
      <c r="L416" t="s">
        <v>26</v>
      </c>
      <c r="M416" t="s">
        <v>25</v>
      </c>
      <c r="N416" t="s">
        <v>26</v>
      </c>
      <c r="O416" t="s">
        <v>28</v>
      </c>
      <c r="P416" t="s">
        <v>26</v>
      </c>
      <c r="Q416">
        <v>33</v>
      </c>
      <c r="R416" t="s">
        <v>39</v>
      </c>
      <c r="S416" s="2">
        <v>67.783141009681501</v>
      </c>
      <c r="T416" s="3">
        <v>3226.2790308777098</v>
      </c>
      <c r="U416" s="4">
        <v>44655.318869068098</v>
      </c>
      <c r="V416" t="s">
        <v>25</v>
      </c>
      <c r="W416" t="s">
        <v>30</v>
      </c>
    </row>
    <row r="417" spans="1:23" x14ac:dyDescent="0.35">
      <c r="A417">
        <v>1417</v>
      </c>
      <c r="B417" t="s">
        <v>31</v>
      </c>
      <c r="C417" t="s">
        <v>25</v>
      </c>
      <c r="D417" t="s">
        <v>25</v>
      </c>
      <c r="E417" t="s">
        <v>25</v>
      </c>
      <c r="F417" t="s">
        <v>25</v>
      </c>
      <c r="G417" t="s">
        <v>26</v>
      </c>
      <c r="H417" t="s">
        <v>25</v>
      </c>
      <c r="I417" t="s">
        <v>25</v>
      </c>
      <c r="J417" t="s">
        <v>26</v>
      </c>
      <c r="K417" t="s">
        <v>25</v>
      </c>
      <c r="L417" t="s">
        <v>25</v>
      </c>
      <c r="M417" t="s">
        <v>25</v>
      </c>
      <c r="N417" t="s">
        <v>25</v>
      </c>
      <c r="O417" t="s">
        <v>41</v>
      </c>
      <c r="P417" t="s">
        <v>26</v>
      </c>
      <c r="Q417">
        <v>33</v>
      </c>
      <c r="R417" t="s">
        <v>29</v>
      </c>
      <c r="S417" s="2">
        <v>67.761732734899795</v>
      </c>
      <c r="T417" s="3">
        <v>3223.80669424793</v>
      </c>
      <c r="U417" s="4">
        <v>44655.118646288902</v>
      </c>
      <c r="V417" t="s">
        <v>25</v>
      </c>
      <c r="W417" t="s">
        <v>50</v>
      </c>
    </row>
    <row r="418" spans="1:23" x14ac:dyDescent="0.35">
      <c r="A418">
        <v>1418</v>
      </c>
      <c r="B418" t="s">
        <v>34</v>
      </c>
      <c r="C418" t="s">
        <v>25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s">
        <v>26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28</v>
      </c>
      <c r="P418" t="s">
        <v>26</v>
      </c>
      <c r="Q418">
        <v>32</v>
      </c>
      <c r="R418" t="s">
        <v>39</v>
      </c>
      <c r="S418" s="2">
        <v>67.740324460118003</v>
      </c>
      <c r="T418" s="3">
        <v>3221.3343576181601</v>
      </c>
      <c r="U418" s="4">
        <v>44654.9184235098</v>
      </c>
      <c r="V418" t="s">
        <v>25</v>
      </c>
      <c r="W418" t="s">
        <v>30</v>
      </c>
    </row>
    <row r="419" spans="1:23" x14ac:dyDescent="0.35">
      <c r="A419">
        <v>1419</v>
      </c>
      <c r="B419" t="s">
        <v>31</v>
      </c>
      <c r="C419" t="s">
        <v>25</v>
      </c>
      <c r="D419" t="s">
        <v>25</v>
      </c>
      <c r="E419" t="s">
        <v>25</v>
      </c>
      <c r="F419" t="s">
        <v>26</v>
      </c>
      <c r="G419" t="s">
        <v>25</v>
      </c>
      <c r="H419" t="s">
        <v>35</v>
      </c>
      <c r="I419" t="s">
        <v>26</v>
      </c>
      <c r="J419" t="s">
        <v>26</v>
      </c>
      <c r="K419" t="s">
        <v>26</v>
      </c>
      <c r="L419" t="s">
        <v>25</v>
      </c>
      <c r="M419" t="s">
        <v>25</v>
      </c>
      <c r="N419" t="s">
        <v>26</v>
      </c>
      <c r="O419" t="s">
        <v>41</v>
      </c>
      <c r="P419" t="s">
        <v>26</v>
      </c>
      <c r="Q419">
        <v>32</v>
      </c>
      <c r="R419" t="s">
        <v>29</v>
      </c>
      <c r="S419" s="2">
        <v>67.718916185336198</v>
      </c>
      <c r="T419" s="3">
        <v>3218.8620209883802</v>
      </c>
      <c r="U419" s="4">
        <v>44654.718200730596</v>
      </c>
      <c r="V419" t="s">
        <v>25</v>
      </c>
      <c r="W419" t="s">
        <v>30</v>
      </c>
    </row>
    <row r="420" spans="1:23" x14ac:dyDescent="0.35">
      <c r="A420">
        <v>1420</v>
      </c>
      <c r="B420" t="s">
        <v>34</v>
      </c>
      <c r="C420" t="s">
        <v>25</v>
      </c>
      <c r="D420" t="s">
        <v>25</v>
      </c>
      <c r="E420" t="s">
        <v>25</v>
      </c>
      <c r="F420" t="s">
        <v>26</v>
      </c>
      <c r="G420" t="s">
        <v>25</v>
      </c>
      <c r="H420" t="s">
        <v>35</v>
      </c>
      <c r="I420" t="s">
        <v>25</v>
      </c>
      <c r="J420" t="s">
        <v>25</v>
      </c>
      <c r="K420" t="s">
        <v>25</v>
      </c>
      <c r="L420" t="s">
        <v>26</v>
      </c>
      <c r="M420" t="s">
        <v>26</v>
      </c>
      <c r="N420" t="s">
        <v>26</v>
      </c>
      <c r="O420" t="s">
        <v>41</v>
      </c>
      <c r="P420" t="s">
        <v>25</v>
      </c>
      <c r="Q420">
        <v>32</v>
      </c>
      <c r="R420" t="s">
        <v>39</v>
      </c>
      <c r="S420" s="2">
        <v>67.697507910554506</v>
      </c>
      <c r="T420" s="3">
        <v>3216.3896843586099</v>
      </c>
      <c r="U420" s="4">
        <v>44654.5179779514</v>
      </c>
      <c r="V420" t="s">
        <v>26</v>
      </c>
      <c r="W420" t="s">
        <v>30</v>
      </c>
    </row>
    <row r="421" spans="1:23" x14ac:dyDescent="0.35">
      <c r="A421">
        <v>1421</v>
      </c>
      <c r="B421" t="s">
        <v>34</v>
      </c>
      <c r="C421" t="s">
        <v>25</v>
      </c>
      <c r="D421" t="s">
        <v>26</v>
      </c>
      <c r="E421" t="s">
        <v>25</v>
      </c>
      <c r="F421" t="s">
        <v>26</v>
      </c>
      <c r="G421" t="s">
        <v>25</v>
      </c>
      <c r="H421" t="s">
        <v>27</v>
      </c>
      <c r="I421" t="s">
        <v>25</v>
      </c>
      <c r="J421" t="s">
        <v>25</v>
      </c>
      <c r="K421" t="s">
        <v>25</v>
      </c>
      <c r="L421" t="s">
        <v>25</v>
      </c>
      <c r="M421" t="s">
        <v>26</v>
      </c>
      <c r="N421" t="s">
        <v>25</v>
      </c>
      <c r="O421" t="s">
        <v>28</v>
      </c>
      <c r="P421" t="s">
        <v>25</v>
      </c>
      <c r="Q421">
        <v>32</v>
      </c>
      <c r="R421" t="s">
        <v>29</v>
      </c>
      <c r="S421" s="2">
        <v>67.676099635772701</v>
      </c>
      <c r="T421" s="3">
        <v>3213.91734772883</v>
      </c>
      <c r="U421" s="4">
        <v>44654.317755172196</v>
      </c>
      <c r="V421" t="s">
        <v>26</v>
      </c>
      <c r="W421" t="s">
        <v>30</v>
      </c>
    </row>
    <row r="422" spans="1:23" x14ac:dyDescent="0.35">
      <c r="A422">
        <v>1422</v>
      </c>
      <c r="B422" t="s">
        <v>0</v>
      </c>
      <c r="C422" t="s">
        <v>25</v>
      </c>
      <c r="D422" t="s">
        <v>26</v>
      </c>
      <c r="E422" t="s">
        <v>26</v>
      </c>
      <c r="F422" t="s">
        <v>26</v>
      </c>
      <c r="G422" t="s">
        <v>26</v>
      </c>
      <c r="H422" t="s">
        <v>27</v>
      </c>
      <c r="I422" t="s">
        <v>26</v>
      </c>
      <c r="J422" t="s">
        <v>25</v>
      </c>
      <c r="K422" t="s">
        <v>25</v>
      </c>
      <c r="L422" t="s">
        <v>26</v>
      </c>
      <c r="M422" t="s">
        <v>25</v>
      </c>
      <c r="N422" t="s">
        <v>26</v>
      </c>
      <c r="O422" t="s">
        <v>41</v>
      </c>
      <c r="P422" t="s">
        <v>26</v>
      </c>
      <c r="Q422">
        <v>32</v>
      </c>
      <c r="R422" t="s">
        <v>39</v>
      </c>
      <c r="S422" s="2">
        <v>67.654691360990995</v>
      </c>
      <c r="T422" s="3">
        <v>3211.4450110990601</v>
      </c>
      <c r="U422" s="4">
        <v>44654.117532393102</v>
      </c>
      <c r="V422" t="s">
        <v>26</v>
      </c>
      <c r="W422" t="s">
        <v>30</v>
      </c>
    </row>
    <row r="423" spans="1:23" x14ac:dyDescent="0.35">
      <c r="A423">
        <v>1423</v>
      </c>
      <c r="B423" t="s">
        <v>31</v>
      </c>
      <c r="C423" t="s">
        <v>25</v>
      </c>
      <c r="D423" t="s">
        <v>26</v>
      </c>
      <c r="E423" t="s">
        <v>25</v>
      </c>
      <c r="F423" t="s">
        <v>25</v>
      </c>
      <c r="G423" t="s">
        <v>25</v>
      </c>
      <c r="H423" t="s">
        <v>35</v>
      </c>
      <c r="I423" t="s">
        <v>26</v>
      </c>
      <c r="J423" t="s">
        <v>26</v>
      </c>
      <c r="K423" t="s">
        <v>26</v>
      </c>
      <c r="L423" t="s">
        <v>25</v>
      </c>
      <c r="M423" t="s">
        <v>25</v>
      </c>
      <c r="N423" t="s">
        <v>25</v>
      </c>
      <c r="O423" t="s">
        <v>48</v>
      </c>
      <c r="P423" t="s">
        <v>26</v>
      </c>
      <c r="Q423">
        <v>32</v>
      </c>
      <c r="R423" t="s">
        <v>33</v>
      </c>
      <c r="S423" s="2">
        <v>67.633283086209204</v>
      </c>
      <c r="T423" s="3">
        <v>3208.9726744692798</v>
      </c>
      <c r="U423" s="4">
        <v>44653.917309613898</v>
      </c>
      <c r="V423" t="s">
        <v>26</v>
      </c>
      <c r="W423" t="s">
        <v>30</v>
      </c>
    </row>
    <row r="424" spans="1:23" x14ac:dyDescent="0.35">
      <c r="A424">
        <v>1424</v>
      </c>
      <c r="B424" t="s">
        <v>31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45</v>
      </c>
      <c r="P424" t="s">
        <v>26</v>
      </c>
      <c r="Q424">
        <v>32</v>
      </c>
      <c r="R424" t="s">
        <v>39</v>
      </c>
      <c r="S424" s="2">
        <v>67.611874811427498</v>
      </c>
      <c r="T424" s="3">
        <v>3206.5003378395099</v>
      </c>
      <c r="U424" s="4">
        <v>44653.717086834702</v>
      </c>
      <c r="V424" t="s">
        <v>26</v>
      </c>
      <c r="W424" t="s">
        <v>30</v>
      </c>
    </row>
    <row r="425" spans="1:23" x14ac:dyDescent="0.35">
      <c r="A425">
        <v>1425</v>
      </c>
      <c r="B425" t="s">
        <v>31</v>
      </c>
      <c r="C425" t="s">
        <v>26</v>
      </c>
      <c r="D425" t="s">
        <v>25</v>
      </c>
      <c r="E425" t="s">
        <v>25</v>
      </c>
      <c r="F425" t="s">
        <v>26</v>
      </c>
      <c r="G425" t="s">
        <v>26</v>
      </c>
      <c r="H425" t="s">
        <v>27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26</v>
      </c>
      <c r="O425" t="s">
        <v>41</v>
      </c>
      <c r="P425" t="s">
        <v>25</v>
      </c>
      <c r="Q425">
        <v>32</v>
      </c>
      <c r="R425" t="s">
        <v>33</v>
      </c>
      <c r="S425" s="2">
        <v>67.590466536645707</v>
      </c>
      <c r="T425" s="3">
        <v>3204.0280012097301</v>
      </c>
      <c r="U425" s="4">
        <v>44653.5168640556</v>
      </c>
      <c r="V425" t="s">
        <v>26</v>
      </c>
      <c r="W425" t="s">
        <v>30</v>
      </c>
    </row>
    <row r="426" spans="1:23" x14ac:dyDescent="0.35">
      <c r="A426">
        <v>1426</v>
      </c>
      <c r="B426" t="s">
        <v>34</v>
      </c>
      <c r="C426" t="s">
        <v>25</v>
      </c>
      <c r="D426" t="s">
        <v>25</v>
      </c>
      <c r="E426" t="s">
        <v>26</v>
      </c>
      <c r="F426" t="s">
        <v>26</v>
      </c>
      <c r="G426" t="s">
        <v>26</v>
      </c>
      <c r="H426" t="s">
        <v>27</v>
      </c>
      <c r="I426" t="s">
        <v>25</v>
      </c>
      <c r="J426" t="s">
        <v>26</v>
      </c>
      <c r="K426" t="s">
        <v>26</v>
      </c>
      <c r="L426" t="s">
        <v>25</v>
      </c>
      <c r="M426" t="s">
        <v>26</v>
      </c>
      <c r="N426" t="s">
        <v>26</v>
      </c>
      <c r="O426" t="s">
        <v>41</v>
      </c>
      <c r="P426" t="s">
        <v>25</v>
      </c>
      <c r="Q426">
        <v>32</v>
      </c>
      <c r="R426" t="s">
        <v>29</v>
      </c>
      <c r="S426" s="2">
        <v>67.569058261864001</v>
      </c>
      <c r="T426" s="3">
        <v>3201.5556645799602</v>
      </c>
      <c r="U426" s="4">
        <v>44653.316641276397</v>
      </c>
      <c r="V426" t="s">
        <v>26</v>
      </c>
      <c r="W426" t="s">
        <v>30</v>
      </c>
    </row>
    <row r="427" spans="1:23" x14ac:dyDescent="0.35">
      <c r="A427">
        <v>1427</v>
      </c>
      <c r="B427" t="s">
        <v>31</v>
      </c>
      <c r="C427" t="s">
        <v>25</v>
      </c>
      <c r="D427" t="s">
        <v>26</v>
      </c>
      <c r="E427" t="s">
        <v>25</v>
      </c>
      <c r="F427" t="s">
        <v>26</v>
      </c>
      <c r="G427" t="s">
        <v>26</v>
      </c>
      <c r="H427" t="s">
        <v>35</v>
      </c>
      <c r="I427" t="s">
        <v>25</v>
      </c>
      <c r="J427" t="s">
        <v>26</v>
      </c>
      <c r="K427" t="s">
        <v>26</v>
      </c>
      <c r="L427" t="s">
        <v>25</v>
      </c>
      <c r="M427" t="s">
        <v>25</v>
      </c>
      <c r="N427" t="s">
        <v>25</v>
      </c>
      <c r="O427" t="s">
        <v>45</v>
      </c>
      <c r="P427" t="s">
        <v>25</v>
      </c>
      <c r="Q427">
        <v>32</v>
      </c>
      <c r="R427" t="s">
        <v>39</v>
      </c>
      <c r="S427" s="2">
        <v>67.547649987082195</v>
      </c>
      <c r="T427" s="3">
        <v>3199.0833279501799</v>
      </c>
      <c r="U427" s="4">
        <v>44653.1164184972</v>
      </c>
      <c r="V427" t="s">
        <v>26</v>
      </c>
      <c r="W427" t="s">
        <v>30</v>
      </c>
    </row>
    <row r="428" spans="1:23" x14ac:dyDescent="0.35">
      <c r="A428">
        <v>1428</v>
      </c>
      <c r="B428" t="s">
        <v>31</v>
      </c>
      <c r="C428" t="s">
        <v>25</v>
      </c>
      <c r="D428" t="s">
        <v>26</v>
      </c>
      <c r="E428" t="s">
        <v>26</v>
      </c>
      <c r="F428" t="s">
        <v>26</v>
      </c>
      <c r="G428" t="s">
        <v>25</v>
      </c>
      <c r="H428" t="s">
        <v>35</v>
      </c>
      <c r="I428" t="s">
        <v>25</v>
      </c>
      <c r="J428" t="s">
        <v>26</v>
      </c>
      <c r="K428" t="s">
        <v>25</v>
      </c>
      <c r="L428" t="s">
        <v>25</v>
      </c>
      <c r="M428" t="s">
        <v>25</v>
      </c>
      <c r="N428" t="s">
        <v>26</v>
      </c>
      <c r="O428" t="s">
        <v>41</v>
      </c>
      <c r="P428" t="s">
        <v>26</v>
      </c>
      <c r="Q428">
        <v>32</v>
      </c>
      <c r="R428" t="s">
        <v>49</v>
      </c>
      <c r="S428" s="2">
        <v>67.526241712300504</v>
      </c>
      <c r="T428" s="3">
        <v>3196.61099132041</v>
      </c>
      <c r="U428" s="4">
        <v>44652.916195718099</v>
      </c>
      <c r="V428" t="s">
        <v>26</v>
      </c>
      <c r="W428" t="s">
        <v>30</v>
      </c>
    </row>
    <row r="429" spans="1:23" x14ac:dyDescent="0.35">
      <c r="A429">
        <v>1429</v>
      </c>
      <c r="B429" t="s">
        <v>34</v>
      </c>
      <c r="C429" t="s">
        <v>25</v>
      </c>
      <c r="D429" t="s">
        <v>25</v>
      </c>
      <c r="E429" t="s">
        <v>25</v>
      </c>
      <c r="F429" t="s">
        <v>26</v>
      </c>
      <c r="G429" t="s">
        <v>25</v>
      </c>
      <c r="H429" t="s">
        <v>27</v>
      </c>
      <c r="I429" t="s">
        <v>25</v>
      </c>
      <c r="J429" t="s">
        <v>25</v>
      </c>
      <c r="K429" t="s">
        <v>26</v>
      </c>
      <c r="L429" t="s">
        <v>25</v>
      </c>
      <c r="M429" t="s">
        <v>26</v>
      </c>
      <c r="N429" t="s">
        <v>25</v>
      </c>
      <c r="O429" t="s">
        <v>41</v>
      </c>
      <c r="P429" t="s">
        <v>25</v>
      </c>
      <c r="Q429">
        <v>32</v>
      </c>
      <c r="R429" t="s">
        <v>39</v>
      </c>
      <c r="S429" s="2">
        <v>67.504833437518698</v>
      </c>
      <c r="T429" s="3">
        <v>3194.1386546906301</v>
      </c>
      <c r="U429" s="4">
        <v>44652.715972938902</v>
      </c>
      <c r="V429" t="s">
        <v>26</v>
      </c>
      <c r="W429" t="s">
        <v>30</v>
      </c>
    </row>
    <row r="430" spans="1:23" x14ac:dyDescent="0.35">
      <c r="A430">
        <v>1430</v>
      </c>
      <c r="B430" t="s">
        <v>34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25</v>
      </c>
      <c r="L430" t="s">
        <v>26</v>
      </c>
      <c r="M430" t="s">
        <v>25</v>
      </c>
      <c r="N430" t="s">
        <v>25</v>
      </c>
      <c r="O430" t="s">
        <v>41</v>
      </c>
      <c r="P430" t="s">
        <v>26</v>
      </c>
      <c r="Q430">
        <v>32</v>
      </c>
      <c r="R430" t="s">
        <v>49</v>
      </c>
      <c r="S430" s="2">
        <v>67.483425162736907</v>
      </c>
      <c r="T430" s="3">
        <v>3191.6663180608598</v>
      </c>
      <c r="U430" s="4">
        <v>44652.515750159699</v>
      </c>
      <c r="V430" t="s">
        <v>26</v>
      </c>
      <c r="W430" t="s">
        <v>30</v>
      </c>
    </row>
    <row r="431" spans="1:23" x14ac:dyDescent="0.35">
      <c r="A431">
        <v>1431</v>
      </c>
      <c r="B431" t="s">
        <v>31</v>
      </c>
      <c r="C431" t="s">
        <v>25</v>
      </c>
      <c r="D431" t="s">
        <v>26</v>
      </c>
      <c r="E431" t="s">
        <v>25</v>
      </c>
      <c r="F431" t="s">
        <v>26</v>
      </c>
      <c r="G431" t="s">
        <v>25</v>
      </c>
      <c r="H431" t="s">
        <v>27</v>
      </c>
      <c r="I431" t="s">
        <v>26</v>
      </c>
      <c r="J431" t="s">
        <v>25</v>
      </c>
      <c r="K431" t="s">
        <v>25</v>
      </c>
      <c r="L431" t="s">
        <v>26</v>
      </c>
      <c r="M431" t="s">
        <v>26</v>
      </c>
      <c r="N431" t="s">
        <v>25</v>
      </c>
      <c r="O431" t="s">
        <v>41</v>
      </c>
      <c r="P431" t="s">
        <v>25</v>
      </c>
      <c r="Q431">
        <v>32</v>
      </c>
      <c r="R431" t="s">
        <v>39</v>
      </c>
      <c r="S431" s="2">
        <v>67.462016887955201</v>
      </c>
      <c r="T431" s="3">
        <v>3189.1939814310799</v>
      </c>
      <c r="U431" s="4">
        <v>44652.315527380502</v>
      </c>
      <c r="V431" t="s">
        <v>26</v>
      </c>
      <c r="W431" t="s">
        <v>30</v>
      </c>
    </row>
    <row r="432" spans="1:23" x14ac:dyDescent="0.35">
      <c r="A432">
        <v>1432</v>
      </c>
      <c r="B432" t="s">
        <v>31</v>
      </c>
      <c r="C432" t="s">
        <v>25</v>
      </c>
      <c r="D432" t="s">
        <v>26</v>
      </c>
      <c r="E432" t="s">
        <v>25</v>
      </c>
      <c r="F432" t="s">
        <v>26</v>
      </c>
      <c r="G432" t="s">
        <v>26</v>
      </c>
      <c r="H432" t="s">
        <v>27</v>
      </c>
      <c r="I432" t="s">
        <v>25</v>
      </c>
      <c r="J432" t="s">
        <v>25</v>
      </c>
      <c r="K432" t="s">
        <v>25</v>
      </c>
      <c r="L432" t="s">
        <v>25</v>
      </c>
      <c r="M432" t="s">
        <v>26</v>
      </c>
      <c r="N432" t="s">
        <v>25</v>
      </c>
      <c r="O432" t="s">
        <v>41</v>
      </c>
      <c r="P432" t="s">
        <v>26</v>
      </c>
      <c r="Q432">
        <v>32</v>
      </c>
      <c r="R432" t="s">
        <v>39</v>
      </c>
      <c r="S432" s="2">
        <v>67.440608613173495</v>
      </c>
      <c r="T432" s="3">
        <v>3186.72164480131</v>
      </c>
      <c r="U432" s="4">
        <v>44652.115304601401</v>
      </c>
      <c r="V432" t="s">
        <v>26</v>
      </c>
      <c r="W432" t="s">
        <v>30</v>
      </c>
    </row>
    <row r="433" spans="1:23" x14ac:dyDescent="0.35">
      <c r="A433">
        <v>1433</v>
      </c>
      <c r="B433" t="s">
        <v>31</v>
      </c>
      <c r="C433" t="s">
        <v>25</v>
      </c>
      <c r="D433" t="s">
        <v>25</v>
      </c>
      <c r="E433" t="s">
        <v>25</v>
      </c>
      <c r="F433" t="s">
        <v>25</v>
      </c>
      <c r="G433" t="s">
        <v>26</v>
      </c>
      <c r="H433" t="s">
        <v>27</v>
      </c>
      <c r="I433" t="s">
        <v>25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28</v>
      </c>
      <c r="P433" t="s">
        <v>26</v>
      </c>
      <c r="Q433">
        <v>32</v>
      </c>
      <c r="R433" t="s">
        <v>29</v>
      </c>
      <c r="S433" s="2">
        <v>67.419200338391704</v>
      </c>
      <c r="T433" s="3">
        <v>3184.2493081715402</v>
      </c>
      <c r="U433" s="4">
        <v>44651.915081822197</v>
      </c>
      <c r="V433" t="s">
        <v>26</v>
      </c>
      <c r="W433" t="s">
        <v>30</v>
      </c>
    </row>
    <row r="434" spans="1:23" x14ac:dyDescent="0.35">
      <c r="A434">
        <v>1434</v>
      </c>
      <c r="B434" t="s">
        <v>31</v>
      </c>
      <c r="C434" t="s">
        <v>25</v>
      </c>
      <c r="D434" t="s">
        <v>26</v>
      </c>
      <c r="E434" t="s">
        <v>26</v>
      </c>
      <c r="F434" t="s">
        <v>26</v>
      </c>
      <c r="G434" t="s">
        <v>25</v>
      </c>
      <c r="H434" t="s">
        <v>35</v>
      </c>
      <c r="I434" t="s">
        <v>26</v>
      </c>
      <c r="J434" t="s">
        <v>25</v>
      </c>
      <c r="K434" t="s">
        <v>26</v>
      </c>
      <c r="L434" t="s">
        <v>25</v>
      </c>
      <c r="M434" t="s">
        <v>25</v>
      </c>
      <c r="N434" t="s">
        <v>25</v>
      </c>
      <c r="O434" t="s">
        <v>45</v>
      </c>
      <c r="P434" t="s">
        <v>26</v>
      </c>
      <c r="Q434">
        <v>32</v>
      </c>
      <c r="R434" t="s">
        <v>39</v>
      </c>
      <c r="S434" s="2">
        <v>67.397792063609899</v>
      </c>
      <c r="T434" s="3">
        <v>3181.7769715417598</v>
      </c>
      <c r="U434" s="4">
        <v>44651.714859043001</v>
      </c>
      <c r="V434" t="s">
        <v>26</v>
      </c>
      <c r="W434" t="s">
        <v>30</v>
      </c>
    </row>
    <row r="435" spans="1:23" x14ac:dyDescent="0.35">
      <c r="A435">
        <v>1435</v>
      </c>
      <c r="B435" t="s">
        <v>31</v>
      </c>
      <c r="C435" t="s">
        <v>25</v>
      </c>
      <c r="D435" t="s">
        <v>25</v>
      </c>
      <c r="E435" t="s">
        <v>25</v>
      </c>
      <c r="F435" t="s">
        <v>26</v>
      </c>
      <c r="G435" t="s">
        <v>26</v>
      </c>
      <c r="H435" t="s">
        <v>35</v>
      </c>
      <c r="I435" t="s">
        <v>25</v>
      </c>
      <c r="J435" t="s">
        <v>25</v>
      </c>
      <c r="K435" t="s">
        <v>25</v>
      </c>
      <c r="L435" t="s">
        <v>25</v>
      </c>
      <c r="M435" t="s">
        <v>26</v>
      </c>
      <c r="N435" t="s">
        <v>25</v>
      </c>
      <c r="O435" t="s">
        <v>41</v>
      </c>
      <c r="P435" t="s">
        <v>25</v>
      </c>
      <c r="Q435">
        <v>32</v>
      </c>
      <c r="R435" t="s">
        <v>39</v>
      </c>
      <c r="S435" s="2">
        <v>67.376383788828207</v>
      </c>
      <c r="T435" s="3">
        <v>3179.30463491199</v>
      </c>
      <c r="U435" s="4">
        <v>44651.514636263899</v>
      </c>
      <c r="V435" t="s">
        <v>26</v>
      </c>
      <c r="W435" t="s">
        <v>30</v>
      </c>
    </row>
    <row r="436" spans="1:23" x14ac:dyDescent="0.35">
      <c r="A436">
        <v>1436</v>
      </c>
      <c r="B436" t="s">
        <v>34</v>
      </c>
      <c r="C436" t="s">
        <v>25</v>
      </c>
      <c r="D436" t="s">
        <v>26</v>
      </c>
      <c r="E436" t="s">
        <v>26</v>
      </c>
      <c r="F436" t="s">
        <v>26</v>
      </c>
      <c r="G436" t="s">
        <v>25</v>
      </c>
      <c r="H436" t="s">
        <v>27</v>
      </c>
      <c r="I436" t="s">
        <v>26</v>
      </c>
      <c r="J436" t="s">
        <v>25</v>
      </c>
      <c r="K436" t="s">
        <v>25</v>
      </c>
      <c r="L436" t="s">
        <v>26</v>
      </c>
      <c r="M436" t="s">
        <v>26</v>
      </c>
      <c r="N436" t="s">
        <v>26</v>
      </c>
      <c r="O436" t="s">
        <v>45</v>
      </c>
      <c r="P436" t="s">
        <v>26</v>
      </c>
      <c r="Q436">
        <v>32</v>
      </c>
      <c r="R436" t="s">
        <v>39</v>
      </c>
      <c r="S436" s="2">
        <v>67.354975514046401</v>
      </c>
      <c r="T436" s="3">
        <v>3176.8322982822101</v>
      </c>
      <c r="U436" s="4">
        <v>44651.314413484703</v>
      </c>
      <c r="V436" t="s">
        <v>26</v>
      </c>
      <c r="W436" t="s">
        <v>50</v>
      </c>
    </row>
    <row r="437" spans="1:23" x14ac:dyDescent="0.35">
      <c r="A437">
        <v>1437</v>
      </c>
      <c r="B437" t="s">
        <v>31</v>
      </c>
      <c r="C437" t="s">
        <v>25</v>
      </c>
      <c r="D437" t="s">
        <v>26</v>
      </c>
      <c r="E437" t="s">
        <v>25</v>
      </c>
      <c r="F437" t="s">
        <v>25</v>
      </c>
      <c r="G437" t="s">
        <v>26</v>
      </c>
      <c r="H437" t="s">
        <v>25</v>
      </c>
      <c r="I437" t="s">
        <v>25</v>
      </c>
      <c r="J437" t="s">
        <v>26</v>
      </c>
      <c r="K437" t="s">
        <v>25</v>
      </c>
      <c r="L437" t="s">
        <v>26</v>
      </c>
      <c r="M437" t="s">
        <v>25</v>
      </c>
      <c r="N437" t="s">
        <v>26</v>
      </c>
      <c r="O437" t="s">
        <v>41</v>
      </c>
      <c r="P437" t="s">
        <v>26</v>
      </c>
      <c r="Q437">
        <v>32</v>
      </c>
      <c r="R437" t="s">
        <v>49</v>
      </c>
      <c r="S437" s="2">
        <v>67.333567239264696</v>
      </c>
      <c r="T437" s="3">
        <v>3174.3599616524398</v>
      </c>
      <c r="U437" s="4">
        <v>44651.114190705499</v>
      </c>
      <c r="V437" t="s">
        <v>26</v>
      </c>
      <c r="W437" t="s">
        <v>30</v>
      </c>
    </row>
    <row r="438" spans="1:23" x14ac:dyDescent="0.35">
      <c r="A438">
        <v>1438</v>
      </c>
      <c r="B438" t="s">
        <v>31</v>
      </c>
      <c r="C438" t="s">
        <v>25</v>
      </c>
      <c r="D438" t="s">
        <v>26</v>
      </c>
      <c r="E438" t="s">
        <v>25</v>
      </c>
      <c r="F438" t="s">
        <v>26</v>
      </c>
      <c r="G438" t="s">
        <v>25</v>
      </c>
      <c r="H438" t="s">
        <v>27</v>
      </c>
      <c r="I438" t="s">
        <v>25</v>
      </c>
      <c r="J438" t="s">
        <v>25</v>
      </c>
      <c r="K438" t="s">
        <v>26</v>
      </c>
      <c r="L438" t="s">
        <v>25</v>
      </c>
      <c r="M438" t="s">
        <v>25</v>
      </c>
      <c r="N438" t="s">
        <v>26</v>
      </c>
      <c r="O438" t="s">
        <v>41</v>
      </c>
      <c r="P438" t="s">
        <v>25</v>
      </c>
      <c r="Q438">
        <v>32</v>
      </c>
      <c r="R438" t="s">
        <v>39</v>
      </c>
      <c r="S438" s="2">
        <v>67.312158964482904</v>
      </c>
      <c r="T438" s="3">
        <v>3171.8876250226599</v>
      </c>
      <c r="U438" s="4">
        <v>44650.913967926397</v>
      </c>
      <c r="V438" t="s">
        <v>26</v>
      </c>
      <c r="W438" t="s">
        <v>30</v>
      </c>
    </row>
    <row r="439" spans="1:23" x14ac:dyDescent="0.35">
      <c r="A439">
        <v>1439</v>
      </c>
      <c r="B439" t="s">
        <v>31</v>
      </c>
      <c r="C439" t="s">
        <v>25</v>
      </c>
      <c r="D439" t="s">
        <v>26</v>
      </c>
      <c r="E439" t="s">
        <v>25</v>
      </c>
      <c r="F439" t="s">
        <v>26</v>
      </c>
      <c r="G439" t="s">
        <v>25</v>
      </c>
      <c r="H439" t="s">
        <v>25</v>
      </c>
      <c r="I439" t="s">
        <v>25</v>
      </c>
      <c r="J439" t="s">
        <v>26</v>
      </c>
      <c r="K439" t="s">
        <v>25</v>
      </c>
      <c r="L439" t="s">
        <v>25</v>
      </c>
      <c r="M439" t="s">
        <v>25</v>
      </c>
      <c r="N439" t="s">
        <v>25</v>
      </c>
      <c r="O439" t="s">
        <v>28</v>
      </c>
      <c r="P439" t="s">
        <v>26</v>
      </c>
      <c r="Q439">
        <v>32</v>
      </c>
      <c r="R439" t="s">
        <v>49</v>
      </c>
      <c r="S439" s="2">
        <v>67.290750689701198</v>
      </c>
      <c r="T439" s="3">
        <v>3169.41528839289</v>
      </c>
      <c r="U439" s="4">
        <v>44650.713745147201</v>
      </c>
      <c r="V439" t="s">
        <v>26</v>
      </c>
      <c r="W439" t="s">
        <v>30</v>
      </c>
    </row>
    <row r="440" spans="1:23" x14ac:dyDescent="0.35">
      <c r="A440">
        <v>1440</v>
      </c>
      <c r="B440" t="s">
        <v>31</v>
      </c>
      <c r="C440" t="s">
        <v>25</v>
      </c>
      <c r="D440" t="s">
        <v>25</v>
      </c>
      <c r="E440" t="s">
        <v>25</v>
      </c>
      <c r="F440" t="s">
        <v>26</v>
      </c>
      <c r="G440" t="s">
        <v>26</v>
      </c>
      <c r="H440" t="s">
        <v>25</v>
      </c>
      <c r="I440" t="s">
        <v>26</v>
      </c>
      <c r="J440" t="s">
        <v>26</v>
      </c>
      <c r="K440" t="s">
        <v>26</v>
      </c>
      <c r="L440" t="s">
        <v>25</v>
      </c>
      <c r="M440" t="s">
        <v>25</v>
      </c>
      <c r="N440" t="s">
        <v>26</v>
      </c>
      <c r="O440" t="s">
        <v>28</v>
      </c>
      <c r="P440" t="s">
        <v>26</v>
      </c>
      <c r="Q440">
        <v>32</v>
      </c>
      <c r="R440" t="s">
        <v>49</v>
      </c>
      <c r="S440" s="2">
        <v>67.269342414919393</v>
      </c>
      <c r="T440" s="3">
        <v>3166.9429517631102</v>
      </c>
      <c r="U440" s="4">
        <v>44650.513522367997</v>
      </c>
      <c r="V440" t="s">
        <v>26</v>
      </c>
      <c r="W440" t="s">
        <v>50</v>
      </c>
    </row>
    <row r="441" spans="1:23" x14ac:dyDescent="0.35">
      <c r="A441">
        <v>1441</v>
      </c>
      <c r="B441" t="s">
        <v>34</v>
      </c>
      <c r="C441" t="s">
        <v>25</v>
      </c>
      <c r="D441" t="s">
        <v>26</v>
      </c>
      <c r="E441" t="s">
        <v>25</v>
      </c>
      <c r="F441" t="s">
        <v>25</v>
      </c>
      <c r="G441" t="s">
        <v>25</v>
      </c>
      <c r="H441" t="s">
        <v>35</v>
      </c>
      <c r="I441" t="s">
        <v>26</v>
      </c>
      <c r="J441" t="s">
        <v>25</v>
      </c>
      <c r="K441" t="s">
        <v>25</v>
      </c>
      <c r="L441" t="s">
        <v>26</v>
      </c>
      <c r="M441" t="s">
        <v>26</v>
      </c>
      <c r="N441" t="s">
        <v>25</v>
      </c>
      <c r="O441" t="s">
        <v>41</v>
      </c>
      <c r="P441" t="s">
        <v>25</v>
      </c>
      <c r="Q441">
        <v>32</v>
      </c>
      <c r="R441" t="s">
        <v>33</v>
      </c>
      <c r="S441" s="2">
        <v>67.247934140137701</v>
      </c>
      <c r="T441" s="3">
        <v>3164.4706151333398</v>
      </c>
      <c r="U441" s="4">
        <v>44650.313299588801</v>
      </c>
      <c r="V441" t="s">
        <v>26</v>
      </c>
      <c r="W441" t="s">
        <v>30</v>
      </c>
    </row>
    <row r="442" spans="1:23" x14ac:dyDescent="0.35">
      <c r="A442">
        <v>1442</v>
      </c>
      <c r="B442" t="s">
        <v>34</v>
      </c>
      <c r="C442" t="s">
        <v>25</v>
      </c>
      <c r="D442" t="s">
        <v>26</v>
      </c>
      <c r="E442" t="s">
        <v>25</v>
      </c>
      <c r="F442" t="s">
        <v>26</v>
      </c>
      <c r="G442" t="s">
        <v>26</v>
      </c>
      <c r="H442" t="s">
        <v>35</v>
      </c>
      <c r="I442" t="s">
        <v>25</v>
      </c>
      <c r="J442" t="s">
        <v>26</v>
      </c>
      <c r="K442" t="s">
        <v>25</v>
      </c>
      <c r="L442" t="s">
        <v>25</v>
      </c>
      <c r="M442" t="s">
        <v>25</v>
      </c>
      <c r="N442" t="s">
        <v>25</v>
      </c>
      <c r="O442" t="s">
        <v>41</v>
      </c>
      <c r="P442" t="s">
        <v>26</v>
      </c>
      <c r="Q442">
        <v>32</v>
      </c>
      <c r="R442" t="s">
        <v>33</v>
      </c>
      <c r="S442" s="2">
        <v>67.226525865355896</v>
      </c>
      <c r="T442" s="3">
        <v>3161.99827850356</v>
      </c>
      <c r="U442" s="4">
        <v>44650.113076809699</v>
      </c>
      <c r="V442" t="s">
        <v>25</v>
      </c>
      <c r="W442" t="s">
        <v>30</v>
      </c>
    </row>
    <row r="443" spans="1:23" x14ac:dyDescent="0.35">
      <c r="A443">
        <v>1443</v>
      </c>
      <c r="B443" t="s">
        <v>34</v>
      </c>
      <c r="C443" t="s">
        <v>25</v>
      </c>
      <c r="D443" t="s">
        <v>25</v>
      </c>
      <c r="E443" t="s">
        <v>25</v>
      </c>
      <c r="F443" t="s">
        <v>26</v>
      </c>
      <c r="G443" t="s">
        <v>26</v>
      </c>
      <c r="H443" t="s">
        <v>27</v>
      </c>
      <c r="I443" t="s">
        <v>25</v>
      </c>
      <c r="J443" t="s">
        <v>26</v>
      </c>
      <c r="K443" t="s">
        <v>25</v>
      </c>
      <c r="L443" t="s">
        <v>25</v>
      </c>
      <c r="M443" t="s">
        <v>26</v>
      </c>
      <c r="N443" t="s">
        <v>25</v>
      </c>
      <c r="O443" t="s">
        <v>45</v>
      </c>
      <c r="P443" t="s">
        <v>25</v>
      </c>
      <c r="Q443">
        <v>32</v>
      </c>
      <c r="R443" t="s">
        <v>49</v>
      </c>
      <c r="S443" s="2">
        <v>67.205117590574204</v>
      </c>
      <c r="T443" s="3">
        <v>3159.5259418737901</v>
      </c>
      <c r="U443" s="4">
        <v>44649.912854030503</v>
      </c>
      <c r="V443" t="s">
        <v>25</v>
      </c>
      <c r="W443" t="s">
        <v>30</v>
      </c>
    </row>
    <row r="444" spans="1:23" x14ac:dyDescent="0.35">
      <c r="A444">
        <v>1444</v>
      </c>
      <c r="B444" t="s">
        <v>34</v>
      </c>
      <c r="C444" t="s">
        <v>25</v>
      </c>
      <c r="D444" t="s">
        <v>25</v>
      </c>
      <c r="E444" t="s">
        <v>26</v>
      </c>
      <c r="F444" t="s">
        <v>26</v>
      </c>
      <c r="G444" t="s">
        <v>26</v>
      </c>
      <c r="H444" t="s">
        <v>25</v>
      </c>
      <c r="I444" t="s">
        <v>26</v>
      </c>
      <c r="J444" t="s">
        <v>25</v>
      </c>
      <c r="K444" t="s">
        <v>25</v>
      </c>
      <c r="L444" t="s">
        <v>25</v>
      </c>
      <c r="M444" t="s">
        <v>25</v>
      </c>
      <c r="N444" t="s">
        <v>26</v>
      </c>
      <c r="O444" t="s">
        <v>41</v>
      </c>
      <c r="P444" t="s">
        <v>26</v>
      </c>
      <c r="Q444">
        <v>32</v>
      </c>
      <c r="R444" t="s">
        <v>29</v>
      </c>
      <c r="S444" s="2">
        <v>67.183709315792399</v>
      </c>
      <c r="T444" s="3">
        <v>3157.0536052440102</v>
      </c>
      <c r="U444" s="4">
        <v>44649.712631251299</v>
      </c>
      <c r="V444" t="s">
        <v>25</v>
      </c>
      <c r="W444" t="s">
        <v>30</v>
      </c>
    </row>
    <row r="445" spans="1:23" x14ac:dyDescent="0.35">
      <c r="A445">
        <v>1445</v>
      </c>
      <c r="B445" t="s">
        <v>31</v>
      </c>
      <c r="C445" t="s">
        <v>25</v>
      </c>
      <c r="D445" t="s">
        <v>25</v>
      </c>
      <c r="E445" t="s">
        <v>25</v>
      </c>
      <c r="F445" t="s">
        <v>26</v>
      </c>
      <c r="G445" t="s">
        <v>26</v>
      </c>
      <c r="H445" t="s">
        <v>25</v>
      </c>
      <c r="I445" t="s">
        <v>25</v>
      </c>
      <c r="J445" t="s">
        <v>26</v>
      </c>
      <c r="K445" t="s">
        <v>25</v>
      </c>
      <c r="L445" t="s">
        <v>25</v>
      </c>
      <c r="M445" t="s">
        <v>25</v>
      </c>
      <c r="N445" t="s">
        <v>25</v>
      </c>
      <c r="O445" t="s">
        <v>41</v>
      </c>
      <c r="P445" t="s">
        <v>26</v>
      </c>
      <c r="Q445">
        <v>32</v>
      </c>
      <c r="R445" t="s">
        <v>39</v>
      </c>
      <c r="S445" s="2">
        <v>67.162301041010707</v>
      </c>
      <c r="T445" s="3">
        <v>3154.5812686142399</v>
      </c>
      <c r="U445" s="4">
        <v>44649.512408472197</v>
      </c>
      <c r="V445" t="s">
        <v>25</v>
      </c>
      <c r="W445" t="s">
        <v>30</v>
      </c>
    </row>
    <row r="446" spans="1:23" x14ac:dyDescent="0.35">
      <c r="A446">
        <v>1446</v>
      </c>
      <c r="B446" t="s">
        <v>31</v>
      </c>
      <c r="C446" t="s">
        <v>25</v>
      </c>
      <c r="D446" t="s">
        <v>25</v>
      </c>
      <c r="E446" t="s">
        <v>25</v>
      </c>
      <c r="F446" t="s">
        <v>26</v>
      </c>
      <c r="G446" t="s">
        <v>25</v>
      </c>
      <c r="H446" t="s">
        <v>27</v>
      </c>
      <c r="I446" t="s">
        <v>26</v>
      </c>
      <c r="J446" t="s">
        <v>25</v>
      </c>
      <c r="K446" t="s">
        <v>25</v>
      </c>
      <c r="L446" t="s">
        <v>26</v>
      </c>
      <c r="M446" t="s">
        <v>26</v>
      </c>
      <c r="N446" t="s">
        <v>26</v>
      </c>
      <c r="O446" t="s">
        <v>41</v>
      </c>
      <c r="P446" t="s">
        <v>25</v>
      </c>
      <c r="Q446">
        <v>32</v>
      </c>
      <c r="R446" t="s">
        <v>29</v>
      </c>
      <c r="S446" s="2">
        <v>67.140892766228902</v>
      </c>
      <c r="T446" s="3">
        <v>3152.10893198446</v>
      </c>
      <c r="U446" s="4">
        <v>44649.312185693001</v>
      </c>
      <c r="V446" t="s">
        <v>25</v>
      </c>
      <c r="W446" t="s">
        <v>30</v>
      </c>
    </row>
    <row r="447" spans="1:23" x14ac:dyDescent="0.35">
      <c r="A447">
        <v>1447</v>
      </c>
      <c r="B447" t="s">
        <v>34</v>
      </c>
      <c r="C447" t="s">
        <v>25</v>
      </c>
      <c r="D447" t="s">
        <v>26</v>
      </c>
      <c r="E447" t="s">
        <v>25</v>
      </c>
      <c r="F447" t="s">
        <v>26</v>
      </c>
      <c r="G447" t="s">
        <v>26</v>
      </c>
      <c r="H447" t="s">
        <v>27</v>
      </c>
      <c r="I447" t="s">
        <v>26</v>
      </c>
      <c r="J447" t="s">
        <v>25</v>
      </c>
      <c r="K447" t="s">
        <v>25</v>
      </c>
      <c r="L447" t="s">
        <v>25</v>
      </c>
      <c r="M447" t="s">
        <v>26</v>
      </c>
      <c r="N447" t="s">
        <v>26</v>
      </c>
      <c r="O447" t="s">
        <v>28</v>
      </c>
      <c r="P447" t="s">
        <v>25</v>
      </c>
      <c r="Q447">
        <v>32</v>
      </c>
      <c r="R447" t="s">
        <v>39</v>
      </c>
      <c r="S447" s="2">
        <v>67.119484491447096</v>
      </c>
      <c r="T447" s="3">
        <v>3149.6365953546901</v>
      </c>
      <c r="U447" s="4">
        <v>44649.111962913797</v>
      </c>
      <c r="V447" t="s">
        <v>25</v>
      </c>
      <c r="W447" t="s">
        <v>30</v>
      </c>
    </row>
    <row r="448" spans="1:23" x14ac:dyDescent="0.35">
      <c r="A448">
        <v>1448</v>
      </c>
      <c r="B448" t="s">
        <v>31</v>
      </c>
      <c r="C448" t="s">
        <v>25</v>
      </c>
      <c r="D448" t="s">
        <v>26</v>
      </c>
      <c r="E448" t="s">
        <v>26</v>
      </c>
      <c r="F448" t="s">
        <v>26</v>
      </c>
      <c r="G448" t="s">
        <v>26</v>
      </c>
      <c r="H448" t="s">
        <v>35</v>
      </c>
      <c r="I448" t="s">
        <v>25</v>
      </c>
      <c r="J448" t="s">
        <v>25</v>
      </c>
      <c r="K448" t="s">
        <v>26</v>
      </c>
      <c r="L448" t="s">
        <v>26</v>
      </c>
      <c r="M448" t="s">
        <v>26</v>
      </c>
      <c r="N448" t="s">
        <v>25</v>
      </c>
      <c r="O448" t="s">
        <v>41</v>
      </c>
      <c r="P448" t="s">
        <v>26</v>
      </c>
      <c r="Q448">
        <v>32</v>
      </c>
      <c r="R448" t="s">
        <v>33</v>
      </c>
      <c r="S448" s="2">
        <v>67.098076216665405</v>
      </c>
      <c r="T448" s="3">
        <v>3147.1642587249098</v>
      </c>
      <c r="U448" s="4">
        <v>44648.911740134703</v>
      </c>
      <c r="V448" t="s">
        <v>25</v>
      </c>
      <c r="W448" t="s">
        <v>30</v>
      </c>
    </row>
    <row r="449" spans="1:23" x14ac:dyDescent="0.35">
      <c r="A449">
        <v>1449</v>
      </c>
      <c r="B449" t="s">
        <v>31</v>
      </c>
      <c r="C449" t="s">
        <v>25</v>
      </c>
      <c r="D449" t="s">
        <v>25</v>
      </c>
      <c r="E449" t="s">
        <v>25</v>
      </c>
      <c r="F449" t="s">
        <v>25</v>
      </c>
      <c r="G449" t="s">
        <v>26</v>
      </c>
      <c r="H449" t="s">
        <v>35</v>
      </c>
      <c r="I449" t="s">
        <v>26</v>
      </c>
      <c r="J449" t="s">
        <v>25</v>
      </c>
      <c r="K449" t="s">
        <v>26</v>
      </c>
      <c r="L449" t="s">
        <v>25</v>
      </c>
      <c r="M449" t="s">
        <v>26</v>
      </c>
      <c r="N449" t="s">
        <v>26</v>
      </c>
      <c r="O449" t="s">
        <v>41</v>
      </c>
      <c r="P449" t="s">
        <v>25</v>
      </c>
      <c r="Q449">
        <v>32</v>
      </c>
      <c r="R449" t="s">
        <v>29</v>
      </c>
      <c r="S449" s="2">
        <v>67.076667941883599</v>
      </c>
      <c r="T449" s="3">
        <v>3144.6919220951399</v>
      </c>
      <c r="U449" s="4">
        <v>44648.711517355499</v>
      </c>
      <c r="V449" t="s">
        <v>25</v>
      </c>
      <c r="W449" t="s">
        <v>30</v>
      </c>
    </row>
    <row r="450" spans="1:23" x14ac:dyDescent="0.35">
      <c r="A450">
        <v>1450</v>
      </c>
      <c r="B450" t="s">
        <v>31</v>
      </c>
      <c r="C450" t="s">
        <v>25</v>
      </c>
      <c r="D450" t="s">
        <v>25</v>
      </c>
      <c r="E450" t="s">
        <v>26</v>
      </c>
      <c r="F450" t="s">
        <v>26</v>
      </c>
      <c r="G450" t="s">
        <v>25</v>
      </c>
      <c r="H450" t="s">
        <v>27</v>
      </c>
      <c r="I450" t="s">
        <v>26</v>
      </c>
      <c r="J450" t="s">
        <v>25</v>
      </c>
      <c r="K450" t="s">
        <v>26</v>
      </c>
      <c r="L450" t="s">
        <v>25</v>
      </c>
      <c r="M450" t="s">
        <v>25</v>
      </c>
      <c r="N450" t="s">
        <v>25</v>
      </c>
      <c r="O450" t="s">
        <v>28</v>
      </c>
      <c r="P450" t="s">
        <v>26</v>
      </c>
      <c r="Q450">
        <v>32</v>
      </c>
      <c r="R450" t="s">
        <v>39</v>
      </c>
      <c r="S450" s="2">
        <v>67.055259667101893</v>
      </c>
      <c r="T450" s="3">
        <v>3142.2195854653701</v>
      </c>
      <c r="U450" s="4">
        <v>44648.511294576303</v>
      </c>
      <c r="V450" t="s">
        <v>25</v>
      </c>
      <c r="W450" t="s">
        <v>30</v>
      </c>
    </row>
    <row r="451" spans="1:23" x14ac:dyDescent="0.35">
      <c r="A451">
        <v>1451</v>
      </c>
      <c r="B451" t="s">
        <v>31</v>
      </c>
      <c r="C451" t="s">
        <v>25</v>
      </c>
      <c r="D451" t="s">
        <v>25</v>
      </c>
      <c r="E451" t="s">
        <v>26</v>
      </c>
      <c r="F451" t="s">
        <v>26</v>
      </c>
      <c r="G451" t="s">
        <v>26</v>
      </c>
      <c r="H451" t="s">
        <v>27</v>
      </c>
      <c r="I451" t="s">
        <v>25</v>
      </c>
      <c r="J451" t="s">
        <v>26</v>
      </c>
      <c r="K451" t="s">
        <v>26</v>
      </c>
      <c r="L451" t="s">
        <v>25</v>
      </c>
      <c r="M451" t="s">
        <v>25</v>
      </c>
      <c r="N451" t="s">
        <v>25</v>
      </c>
      <c r="O451" t="s">
        <v>48</v>
      </c>
      <c r="P451" t="s">
        <v>26</v>
      </c>
      <c r="Q451">
        <v>32</v>
      </c>
      <c r="R451" t="s">
        <v>39</v>
      </c>
      <c r="S451" s="2">
        <v>67.033851392320102</v>
      </c>
      <c r="T451" s="3">
        <v>3139.7472488355902</v>
      </c>
      <c r="U451" s="4">
        <v>44648.311071797099</v>
      </c>
      <c r="V451" t="s">
        <v>25</v>
      </c>
      <c r="W451" t="s">
        <v>30</v>
      </c>
    </row>
    <row r="452" spans="1:23" x14ac:dyDescent="0.35">
      <c r="A452">
        <v>1452</v>
      </c>
      <c r="B452" t="s">
        <v>34</v>
      </c>
      <c r="C452" t="s">
        <v>25</v>
      </c>
      <c r="D452" t="s">
        <v>25</v>
      </c>
      <c r="E452" t="s">
        <v>25</v>
      </c>
      <c r="F452" t="s">
        <v>26</v>
      </c>
      <c r="G452" t="s">
        <v>25</v>
      </c>
      <c r="H452" t="s">
        <v>35</v>
      </c>
      <c r="I452" t="s">
        <v>26</v>
      </c>
      <c r="J452" t="s">
        <v>26</v>
      </c>
      <c r="K452" t="s">
        <v>25</v>
      </c>
      <c r="L452" t="s">
        <v>25</v>
      </c>
      <c r="M452" t="s">
        <v>25</v>
      </c>
      <c r="N452" t="s">
        <v>26</v>
      </c>
      <c r="O452" t="s">
        <v>41</v>
      </c>
      <c r="P452" t="s">
        <v>26</v>
      </c>
      <c r="Q452">
        <v>32</v>
      </c>
      <c r="R452" t="s">
        <v>33</v>
      </c>
      <c r="S452" s="2">
        <v>67.012443117538396</v>
      </c>
      <c r="T452" s="3">
        <v>3137.2749122058199</v>
      </c>
      <c r="U452" s="4">
        <v>44648.110849017998</v>
      </c>
      <c r="V452" t="s">
        <v>25</v>
      </c>
      <c r="W452" t="s">
        <v>30</v>
      </c>
    </row>
    <row r="453" spans="1:23" x14ac:dyDescent="0.35">
      <c r="A453">
        <v>1453</v>
      </c>
      <c r="B453" t="s">
        <v>34</v>
      </c>
      <c r="C453" t="s">
        <v>25</v>
      </c>
      <c r="D453" t="s">
        <v>26</v>
      </c>
      <c r="E453" t="s">
        <v>25</v>
      </c>
      <c r="F453" t="s">
        <v>26</v>
      </c>
      <c r="G453" t="s">
        <v>26</v>
      </c>
      <c r="H453" t="s">
        <v>27</v>
      </c>
      <c r="I453" t="s">
        <v>25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41</v>
      </c>
      <c r="P453" t="s">
        <v>26</v>
      </c>
      <c r="Q453">
        <v>32</v>
      </c>
      <c r="R453" t="s">
        <v>33</v>
      </c>
      <c r="S453" s="2">
        <v>66.991034842756605</v>
      </c>
      <c r="T453" s="3">
        <v>3134.80257557604</v>
      </c>
      <c r="U453" s="4">
        <v>44647.910626238801</v>
      </c>
      <c r="V453" t="s">
        <v>26</v>
      </c>
      <c r="W453" t="s">
        <v>30</v>
      </c>
    </row>
    <row r="454" spans="1:23" x14ac:dyDescent="0.35">
      <c r="A454">
        <v>1454</v>
      </c>
      <c r="B454" t="s">
        <v>0</v>
      </c>
      <c r="C454" t="s">
        <v>25</v>
      </c>
      <c r="D454" t="s">
        <v>26</v>
      </c>
      <c r="E454" t="s">
        <v>25</v>
      </c>
      <c r="F454" t="s">
        <v>26</v>
      </c>
      <c r="G454" t="s">
        <v>25</v>
      </c>
      <c r="H454" t="s">
        <v>27</v>
      </c>
      <c r="I454" t="s">
        <v>25</v>
      </c>
      <c r="J454" t="s">
        <v>25</v>
      </c>
      <c r="K454" t="s">
        <v>25</v>
      </c>
      <c r="L454" t="s">
        <v>26</v>
      </c>
      <c r="M454" t="s">
        <v>25</v>
      </c>
      <c r="N454" t="s">
        <v>25</v>
      </c>
      <c r="O454" t="s">
        <v>41</v>
      </c>
      <c r="P454" t="s">
        <v>26</v>
      </c>
      <c r="Q454">
        <v>32</v>
      </c>
      <c r="R454" t="s">
        <v>33</v>
      </c>
      <c r="S454" s="2">
        <v>66.969626567974899</v>
      </c>
      <c r="T454" s="3">
        <v>3132.3302389462701</v>
      </c>
      <c r="U454" s="4">
        <v>44647.710403459598</v>
      </c>
      <c r="V454" t="s">
        <v>25</v>
      </c>
      <c r="W454" t="s">
        <v>30</v>
      </c>
    </row>
    <row r="455" spans="1:23" x14ac:dyDescent="0.35">
      <c r="A455">
        <v>1455</v>
      </c>
      <c r="B455" t="s">
        <v>31</v>
      </c>
      <c r="C455" t="s">
        <v>25</v>
      </c>
      <c r="D455" t="s">
        <v>26</v>
      </c>
      <c r="E455" t="s">
        <v>26</v>
      </c>
      <c r="F455" t="s">
        <v>26</v>
      </c>
      <c r="G455" t="s">
        <v>25</v>
      </c>
      <c r="H455" t="s">
        <v>27</v>
      </c>
      <c r="I455" t="s">
        <v>25</v>
      </c>
      <c r="J455" t="s">
        <v>25</v>
      </c>
      <c r="K455" t="s">
        <v>25</v>
      </c>
      <c r="L455" t="s">
        <v>25</v>
      </c>
      <c r="M455" t="s">
        <v>26</v>
      </c>
      <c r="N455" t="s">
        <v>25</v>
      </c>
      <c r="O455" t="s">
        <v>28</v>
      </c>
      <c r="P455" t="s">
        <v>25</v>
      </c>
      <c r="Q455">
        <v>32</v>
      </c>
      <c r="R455" t="s">
        <v>49</v>
      </c>
      <c r="S455" s="2">
        <v>66.948218293193094</v>
      </c>
      <c r="T455" s="3">
        <v>3129.8579023164898</v>
      </c>
      <c r="U455" s="4">
        <v>44647.510180680503</v>
      </c>
      <c r="V455" t="s">
        <v>25</v>
      </c>
      <c r="W455" t="s">
        <v>30</v>
      </c>
    </row>
    <row r="456" spans="1:23" x14ac:dyDescent="0.35">
      <c r="A456">
        <v>1456</v>
      </c>
      <c r="B456" t="s">
        <v>34</v>
      </c>
      <c r="C456" t="s">
        <v>25</v>
      </c>
      <c r="D456" t="s">
        <v>26</v>
      </c>
      <c r="E456" t="s">
        <v>25</v>
      </c>
      <c r="F456" t="s">
        <v>25</v>
      </c>
      <c r="G456" t="s">
        <v>26</v>
      </c>
      <c r="H456" t="s">
        <v>27</v>
      </c>
      <c r="I456" t="s">
        <v>25</v>
      </c>
      <c r="J456" t="s">
        <v>26</v>
      </c>
      <c r="K456" t="s">
        <v>26</v>
      </c>
      <c r="L456" t="s">
        <v>26</v>
      </c>
      <c r="M456" t="s">
        <v>25</v>
      </c>
      <c r="N456" t="s">
        <v>26</v>
      </c>
      <c r="O456" t="s">
        <v>41</v>
      </c>
      <c r="P456" t="s">
        <v>25</v>
      </c>
      <c r="Q456">
        <v>32</v>
      </c>
      <c r="R456" t="s">
        <v>29</v>
      </c>
      <c r="S456" s="2">
        <v>66.926810018411402</v>
      </c>
      <c r="T456" s="3">
        <v>3127.3855656867199</v>
      </c>
      <c r="U456" s="4">
        <v>44647.3099579013</v>
      </c>
      <c r="V456" t="s">
        <v>25</v>
      </c>
      <c r="W456" t="s">
        <v>30</v>
      </c>
    </row>
    <row r="457" spans="1:23" x14ac:dyDescent="0.35">
      <c r="A457">
        <v>1457</v>
      </c>
      <c r="B457" t="s">
        <v>34</v>
      </c>
      <c r="C457" t="s">
        <v>25</v>
      </c>
      <c r="D457" t="s">
        <v>25</v>
      </c>
      <c r="E457" t="s">
        <v>25</v>
      </c>
      <c r="F457" t="s">
        <v>26</v>
      </c>
      <c r="G457" t="s">
        <v>26</v>
      </c>
      <c r="H457" t="s">
        <v>27</v>
      </c>
      <c r="I457" t="s">
        <v>26</v>
      </c>
      <c r="J457" t="s">
        <v>26</v>
      </c>
      <c r="K457" t="s">
        <v>26</v>
      </c>
      <c r="L457" t="s">
        <v>25</v>
      </c>
      <c r="M457" t="s">
        <v>25</v>
      </c>
      <c r="N457" t="s">
        <v>26</v>
      </c>
      <c r="O457" t="s">
        <v>48</v>
      </c>
      <c r="P457" t="s">
        <v>26</v>
      </c>
      <c r="Q457">
        <v>32</v>
      </c>
      <c r="R457" t="s">
        <v>33</v>
      </c>
      <c r="S457" s="2">
        <v>66.905401743629596</v>
      </c>
      <c r="T457" s="3">
        <v>3124.9132290569401</v>
      </c>
      <c r="U457" s="4">
        <v>44647.109735122103</v>
      </c>
      <c r="V457" t="s">
        <v>25</v>
      </c>
      <c r="W457" t="s">
        <v>30</v>
      </c>
    </row>
    <row r="458" spans="1:23" x14ac:dyDescent="0.35">
      <c r="A458">
        <v>1458</v>
      </c>
      <c r="B458" t="s">
        <v>34</v>
      </c>
      <c r="C458" t="s">
        <v>25</v>
      </c>
      <c r="D458" t="s">
        <v>26</v>
      </c>
      <c r="E458" t="s">
        <v>25</v>
      </c>
      <c r="F458" t="s">
        <v>26</v>
      </c>
      <c r="G458" t="s">
        <v>25</v>
      </c>
      <c r="H458" t="s">
        <v>35</v>
      </c>
      <c r="I458" t="s">
        <v>26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45</v>
      </c>
      <c r="P458" t="s">
        <v>26</v>
      </c>
      <c r="Q458">
        <v>32</v>
      </c>
      <c r="R458" t="s">
        <v>39</v>
      </c>
      <c r="S458" s="2">
        <v>66.883993468847905</v>
      </c>
      <c r="T458" s="3">
        <v>3122.4408924271702</v>
      </c>
      <c r="U458" s="4">
        <v>44646.909512343002</v>
      </c>
      <c r="V458" t="s">
        <v>25</v>
      </c>
      <c r="W458" t="s">
        <v>30</v>
      </c>
    </row>
    <row r="459" spans="1:23" x14ac:dyDescent="0.35">
      <c r="A459">
        <v>1459</v>
      </c>
      <c r="B459" t="s">
        <v>31</v>
      </c>
      <c r="C459" t="s">
        <v>25</v>
      </c>
      <c r="D459" t="s">
        <v>25</v>
      </c>
      <c r="E459" t="s">
        <v>25</v>
      </c>
      <c r="F459" t="s">
        <v>26</v>
      </c>
      <c r="G459" t="s">
        <v>26</v>
      </c>
      <c r="H459" t="s">
        <v>35</v>
      </c>
      <c r="I459" t="s">
        <v>25</v>
      </c>
      <c r="J459" t="s">
        <v>25</v>
      </c>
      <c r="K459" t="s">
        <v>25</v>
      </c>
      <c r="L459" t="s">
        <v>25</v>
      </c>
      <c r="M459" t="s">
        <v>26</v>
      </c>
      <c r="N459" t="s">
        <v>26</v>
      </c>
      <c r="O459" t="s">
        <v>41</v>
      </c>
      <c r="P459" t="s">
        <v>26</v>
      </c>
      <c r="Q459">
        <v>32</v>
      </c>
      <c r="R459" t="s">
        <v>33</v>
      </c>
      <c r="S459" s="2">
        <v>66.862585194066099</v>
      </c>
      <c r="T459" s="3">
        <v>3119.9685557973899</v>
      </c>
      <c r="U459" s="4">
        <v>44646.709289563798</v>
      </c>
      <c r="V459" t="s">
        <v>26</v>
      </c>
      <c r="W459" t="s">
        <v>30</v>
      </c>
    </row>
    <row r="460" spans="1:23" x14ac:dyDescent="0.35">
      <c r="A460">
        <v>1460</v>
      </c>
      <c r="B460" t="s">
        <v>34</v>
      </c>
      <c r="C460" t="s">
        <v>25</v>
      </c>
      <c r="D460" t="s">
        <v>26</v>
      </c>
      <c r="E460" t="s">
        <v>25</v>
      </c>
      <c r="F460" t="s">
        <v>26</v>
      </c>
      <c r="G460" t="s">
        <v>26</v>
      </c>
      <c r="H460" t="s">
        <v>35</v>
      </c>
      <c r="I460" t="s">
        <v>25</v>
      </c>
      <c r="J460" t="s">
        <v>25</v>
      </c>
      <c r="K460" t="s">
        <v>26</v>
      </c>
      <c r="L460" t="s">
        <v>25</v>
      </c>
      <c r="M460" t="s">
        <v>25</v>
      </c>
      <c r="N460" t="s">
        <v>26</v>
      </c>
      <c r="O460" t="s">
        <v>41</v>
      </c>
      <c r="P460" t="s">
        <v>26</v>
      </c>
      <c r="Q460">
        <v>32</v>
      </c>
      <c r="R460" t="s">
        <v>39</v>
      </c>
      <c r="S460" s="2">
        <v>66.841176919284393</v>
      </c>
      <c r="T460" s="3">
        <v>3117.49621916762</v>
      </c>
      <c r="U460" s="4">
        <v>44646.509066784602</v>
      </c>
      <c r="V460" t="s">
        <v>26</v>
      </c>
      <c r="W460" t="s">
        <v>30</v>
      </c>
    </row>
    <row r="461" spans="1:23" x14ac:dyDescent="0.35">
      <c r="A461">
        <v>1461</v>
      </c>
      <c r="B461" t="s">
        <v>31</v>
      </c>
      <c r="C461" t="s">
        <v>25</v>
      </c>
      <c r="D461" t="s">
        <v>26</v>
      </c>
      <c r="E461" t="s">
        <v>25</v>
      </c>
      <c r="F461" t="s">
        <v>26</v>
      </c>
      <c r="G461" t="s">
        <v>26</v>
      </c>
      <c r="H461" t="s">
        <v>35</v>
      </c>
      <c r="I461" t="s">
        <v>25</v>
      </c>
      <c r="J461" t="s">
        <v>26</v>
      </c>
      <c r="K461" t="s">
        <v>25</v>
      </c>
      <c r="L461" t="s">
        <v>26</v>
      </c>
      <c r="M461" t="s">
        <v>25</v>
      </c>
      <c r="N461" t="s">
        <v>25</v>
      </c>
      <c r="O461" t="s">
        <v>41</v>
      </c>
      <c r="P461" t="s">
        <v>25</v>
      </c>
      <c r="Q461">
        <v>32</v>
      </c>
      <c r="R461" t="s">
        <v>39</v>
      </c>
      <c r="S461" s="2">
        <v>66.819768644502602</v>
      </c>
      <c r="T461" s="3">
        <v>3115.0238825378401</v>
      </c>
      <c r="U461" s="4">
        <v>44646.308844005398</v>
      </c>
      <c r="V461" t="s">
        <v>26</v>
      </c>
      <c r="W461" t="s">
        <v>30</v>
      </c>
    </row>
    <row r="462" spans="1:23" x14ac:dyDescent="0.35">
      <c r="A462">
        <v>1462</v>
      </c>
      <c r="B462" t="s">
        <v>34</v>
      </c>
      <c r="C462" t="s">
        <v>25</v>
      </c>
      <c r="D462" t="s">
        <v>26</v>
      </c>
      <c r="E462" t="s">
        <v>25</v>
      </c>
      <c r="F462" t="s">
        <v>26</v>
      </c>
      <c r="G462" t="s">
        <v>25</v>
      </c>
      <c r="H462" t="s">
        <v>35</v>
      </c>
      <c r="I462" t="s">
        <v>25</v>
      </c>
      <c r="J462" t="s">
        <v>25</v>
      </c>
      <c r="K462" t="s">
        <v>26</v>
      </c>
      <c r="L462" t="s">
        <v>25</v>
      </c>
      <c r="M462" t="s">
        <v>26</v>
      </c>
      <c r="N462" t="s">
        <v>25</v>
      </c>
      <c r="O462" t="s">
        <v>41</v>
      </c>
      <c r="P462" t="s">
        <v>25</v>
      </c>
      <c r="Q462">
        <v>32</v>
      </c>
      <c r="R462" t="s">
        <v>49</v>
      </c>
      <c r="S462" s="2">
        <v>66.798360369720896</v>
      </c>
      <c r="T462" s="3">
        <v>3112.5515459080698</v>
      </c>
      <c r="U462" s="4">
        <v>44646.108621226304</v>
      </c>
      <c r="V462" t="s">
        <v>26</v>
      </c>
      <c r="W462" t="s">
        <v>30</v>
      </c>
    </row>
    <row r="463" spans="1:23" x14ac:dyDescent="0.35">
      <c r="A463">
        <v>1463</v>
      </c>
      <c r="B463" t="s">
        <v>31</v>
      </c>
      <c r="C463" t="s">
        <v>25</v>
      </c>
      <c r="D463" t="s">
        <v>26</v>
      </c>
      <c r="E463" t="s">
        <v>25</v>
      </c>
      <c r="F463" t="s">
        <v>26</v>
      </c>
      <c r="G463" t="s">
        <v>26</v>
      </c>
      <c r="H463" t="s">
        <v>35</v>
      </c>
      <c r="I463" t="s">
        <v>25</v>
      </c>
      <c r="J463" t="s">
        <v>26</v>
      </c>
      <c r="K463" t="s">
        <v>26</v>
      </c>
      <c r="L463" t="s">
        <v>25</v>
      </c>
      <c r="M463" t="s">
        <v>26</v>
      </c>
      <c r="N463" t="s">
        <v>26</v>
      </c>
      <c r="O463" t="s">
        <v>45</v>
      </c>
      <c r="P463" t="s">
        <v>25</v>
      </c>
      <c r="Q463">
        <v>32</v>
      </c>
      <c r="R463" t="s">
        <v>29</v>
      </c>
      <c r="S463" s="2">
        <v>66.776952094939105</v>
      </c>
      <c r="T463" s="3">
        <v>3110.0792092782899</v>
      </c>
      <c r="U463" s="4">
        <v>44645.9083984471</v>
      </c>
      <c r="V463" t="s">
        <v>26</v>
      </c>
      <c r="W463" t="s">
        <v>30</v>
      </c>
    </row>
    <row r="464" spans="1:23" x14ac:dyDescent="0.35">
      <c r="A464">
        <v>1464</v>
      </c>
      <c r="B464" t="s">
        <v>31</v>
      </c>
      <c r="C464" t="s">
        <v>25</v>
      </c>
      <c r="D464" t="s">
        <v>25</v>
      </c>
      <c r="E464" t="s">
        <v>26</v>
      </c>
      <c r="F464" t="s">
        <v>26</v>
      </c>
      <c r="G464" t="s">
        <v>26</v>
      </c>
      <c r="H464" t="s">
        <v>25</v>
      </c>
      <c r="I464" t="s">
        <v>25</v>
      </c>
      <c r="J464" t="s">
        <v>25</v>
      </c>
      <c r="K464" t="s">
        <v>25</v>
      </c>
      <c r="L464" t="s">
        <v>26</v>
      </c>
      <c r="M464" t="s">
        <v>25</v>
      </c>
      <c r="N464" t="s">
        <v>25</v>
      </c>
      <c r="O464" t="s">
        <v>41</v>
      </c>
      <c r="P464" t="s">
        <v>25</v>
      </c>
      <c r="Q464">
        <v>32</v>
      </c>
      <c r="R464" t="s">
        <v>39</v>
      </c>
      <c r="S464" s="2">
        <v>66.7555438201573</v>
      </c>
      <c r="T464" s="3">
        <v>3107.60687264852</v>
      </c>
      <c r="U464" s="4">
        <v>44645.708175667904</v>
      </c>
      <c r="V464" t="s">
        <v>26</v>
      </c>
      <c r="W464" t="s">
        <v>30</v>
      </c>
    </row>
    <row r="465" spans="1:23" x14ac:dyDescent="0.35">
      <c r="A465">
        <v>1465</v>
      </c>
      <c r="B465" t="s">
        <v>34</v>
      </c>
      <c r="C465" t="s">
        <v>26</v>
      </c>
      <c r="D465" t="s">
        <v>26</v>
      </c>
      <c r="E465" t="s">
        <v>25</v>
      </c>
      <c r="F465" t="s">
        <v>26</v>
      </c>
      <c r="G465" t="s">
        <v>26</v>
      </c>
      <c r="H465" t="s">
        <v>27</v>
      </c>
      <c r="I465" t="s">
        <v>26</v>
      </c>
      <c r="J465" t="s">
        <v>25</v>
      </c>
      <c r="K465" t="s">
        <v>26</v>
      </c>
      <c r="L465" t="s">
        <v>25</v>
      </c>
      <c r="M465" t="s">
        <v>26</v>
      </c>
      <c r="N465" t="s">
        <v>26</v>
      </c>
      <c r="O465" t="s">
        <v>41</v>
      </c>
      <c r="P465" t="s">
        <v>26</v>
      </c>
      <c r="Q465">
        <v>32</v>
      </c>
      <c r="R465" t="s">
        <v>49</v>
      </c>
      <c r="S465" s="2">
        <v>66.734135545375594</v>
      </c>
      <c r="T465" s="3">
        <v>3105.1345360187402</v>
      </c>
      <c r="U465" s="4">
        <v>44645.507952888802</v>
      </c>
      <c r="V465" t="s">
        <v>26</v>
      </c>
      <c r="W465" t="s">
        <v>30</v>
      </c>
    </row>
    <row r="466" spans="1:23" x14ac:dyDescent="0.35">
      <c r="A466">
        <v>1466</v>
      </c>
      <c r="B466" t="s">
        <v>31</v>
      </c>
      <c r="C466" s="1" t="s">
        <v>26</v>
      </c>
      <c r="D466" t="s">
        <v>25</v>
      </c>
      <c r="E466" t="s">
        <v>26</v>
      </c>
      <c r="F466" t="s">
        <v>26</v>
      </c>
      <c r="G466" t="s">
        <v>26</v>
      </c>
      <c r="H466" t="s">
        <v>35</v>
      </c>
      <c r="I466" t="s">
        <v>26</v>
      </c>
      <c r="J466" t="s">
        <v>26</v>
      </c>
      <c r="K466" t="s">
        <v>26</v>
      </c>
      <c r="L466" t="s">
        <v>25</v>
      </c>
      <c r="M466" t="s">
        <v>25</v>
      </c>
      <c r="N466" t="s">
        <v>26</v>
      </c>
      <c r="O466" t="s">
        <v>45</v>
      </c>
      <c r="P466" t="s">
        <v>26</v>
      </c>
      <c r="Q466">
        <v>32</v>
      </c>
      <c r="R466" t="s">
        <v>29</v>
      </c>
      <c r="S466" s="2">
        <v>66.712727270593803</v>
      </c>
      <c r="T466" s="3">
        <v>3102.6621993889698</v>
      </c>
      <c r="U466" s="4">
        <v>44645.307730109598</v>
      </c>
      <c r="V466" t="s">
        <v>26</v>
      </c>
      <c r="W466" t="s">
        <v>30</v>
      </c>
    </row>
    <row r="467" spans="1:23" x14ac:dyDescent="0.35">
      <c r="A467">
        <v>1467</v>
      </c>
      <c r="B467" t="s">
        <v>34</v>
      </c>
      <c r="C467" t="s">
        <v>25</v>
      </c>
      <c r="D467" t="s">
        <v>26</v>
      </c>
      <c r="E467" t="s">
        <v>26</v>
      </c>
      <c r="F467" t="s">
        <v>26</v>
      </c>
      <c r="G467" t="s">
        <v>26</v>
      </c>
      <c r="H467" t="s">
        <v>27</v>
      </c>
      <c r="I467" t="s">
        <v>26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41</v>
      </c>
      <c r="P467" t="s">
        <v>26</v>
      </c>
      <c r="Q467">
        <v>32</v>
      </c>
      <c r="R467" t="s">
        <v>39</v>
      </c>
      <c r="S467" s="2">
        <v>66.691318995812097</v>
      </c>
      <c r="T467" s="3">
        <v>3100.1898627592</v>
      </c>
      <c r="U467" s="4">
        <v>44645.107507330402</v>
      </c>
      <c r="V467" t="s">
        <v>26</v>
      </c>
      <c r="W467" t="s">
        <v>30</v>
      </c>
    </row>
    <row r="468" spans="1:23" x14ac:dyDescent="0.35">
      <c r="A468">
        <v>1468</v>
      </c>
      <c r="B468" t="s">
        <v>34</v>
      </c>
      <c r="C468" t="s">
        <v>25</v>
      </c>
      <c r="D468" t="s">
        <v>25</v>
      </c>
      <c r="E468" t="s">
        <v>25</v>
      </c>
      <c r="F468" t="s">
        <v>26</v>
      </c>
      <c r="G468" t="s">
        <v>25</v>
      </c>
      <c r="H468" t="s">
        <v>35</v>
      </c>
      <c r="I468" t="s">
        <v>25</v>
      </c>
      <c r="J468" t="s">
        <v>26</v>
      </c>
      <c r="K468" t="s">
        <v>25</v>
      </c>
      <c r="L468" t="s">
        <v>26</v>
      </c>
      <c r="M468" t="s">
        <v>26</v>
      </c>
      <c r="N468" t="s">
        <v>25</v>
      </c>
      <c r="O468" t="s">
        <v>41</v>
      </c>
      <c r="P468" t="s">
        <v>25</v>
      </c>
      <c r="Q468">
        <v>32</v>
      </c>
      <c r="R468" t="s">
        <v>39</v>
      </c>
      <c r="S468" s="2">
        <v>66.669910721030305</v>
      </c>
      <c r="T468" s="3">
        <v>3097.7175261294201</v>
      </c>
      <c r="U468" s="4">
        <v>44644.907284551198</v>
      </c>
      <c r="V468" t="s">
        <v>26</v>
      </c>
      <c r="W468" t="s">
        <v>30</v>
      </c>
    </row>
    <row r="469" spans="1:23" x14ac:dyDescent="0.35">
      <c r="A469">
        <v>1469</v>
      </c>
      <c r="B469" t="s">
        <v>34</v>
      </c>
      <c r="C469" t="s">
        <v>25</v>
      </c>
      <c r="D469" t="s">
        <v>25</v>
      </c>
      <c r="E469" t="s">
        <v>25</v>
      </c>
      <c r="F469" t="s">
        <v>26</v>
      </c>
      <c r="G469" t="s">
        <v>26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26</v>
      </c>
      <c r="N469" t="s">
        <v>25</v>
      </c>
      <c r="O469" t="s">
        <v>28</v>
      </c>
      <c r="P469" t="s">
        <v>26</v>
      </c>
      <c r="Q469">
        <v>32</v>
      </c>
      <c r="R469" t="s">
        <v>29</v>
      </c>
      <c r="S469" s="2">
        <v>66.6485024462486</v>
      </c>
      <c r="T469" s="3">
        <v>3095.2451894996502</v>
      </c>
      <c r="U469" s="4">
        <v>44644.707061772096</v>
      </c>
      <c r="V469" t="s">
        <v>26</v>
      </c>
      <c r="W469" t="s">
        <v>30</v>
      </c>
    </row>
    <row r="470" spans="1:23" x14ac:dyDescent="0.35">
      <c r="A470">
        <v>1470</v>
      </c>
      <c r="B470" t="s">
        <v>34</v>
      </c>
      <c r="C470" t="s">
        <v>25</v>
      </c>
      <c r="D470" t="s">
        <v>25</v>
      </c>
      <c r="E470" t="s">
        <v>25</v>
      </c>
      <c r="F470" t="s">
        <v>26</v>
      </c>
      <c r="G470" t="s">
        <v>25</v>
      </c>
      <c r="H470" t="s">
        <v>35</v>
      </c>
      <c r="I470" t="s">
        <v>25</v>
      </c>
      <c r="J470" t="s">
        <v>25</v>
      </c>
      <c r="K470" t="s">
        <v>25</v>
      </c>
      <c r="L470" t="s">
        <v>25</v>
      </c>
      <c r="M470" t="s">
        <v>26</v>
      </c>
      <c r="N470" t="s">
        <v>25</v>
      </c>
      <c r="O470" t="s">
        <v>41</v>
      </c>
      <c r="P470" t="s">
        <v>26</v>
      </c>
      <c r="Q470">
        <v>32</v>
      </c>
      <c r="R470" t="s">
        <v>39</v>
      </c>
      <c r="S470" s="2">
        <v>66.627094171466794</v>
      </c>
      <c r="T470" s="3">
        <v>3092.7728528698699</v>
      </c>
      <c r="U470" s="4">
        <v>44644.5068389929</v>
      </c>
      <c r="V470" t="s">
        <v>26</v>
      </c>
      <c r="W470" t="s">
        <v>50</v>
      </c>
    </row>
    <row r="471" spans="1:23" x14ac:dyDescent="0.35">
      <c r="A471">
        <v>1471</v>
      </c>
      <c r="B471" t="s">
        <v>31</v>
      </c>
      <c r="C471" t="s">
        <v>25</v>
      </c>
      <c r="D471" t="s">
        <v>26</v>
      </c>
      <c r="E471" t="s">
        <v>26</v>
      </c>
      <c r="F471" t="s">
        <v>26</v>
      </c>
      <c r="G471" t="s">
        <v>25</v>
      </c>
      <c r="H471" t="s">
        <v>25</v>
      </c>
      <c r="I471" t="s">
        <v>25</v>
      </c>
      <c r="J471" t="s">
        <v>26</v>
      </c>
      <c r="K471" t="s">
        <v>25</v>
      </c>
      <c r="L471" t="s">
        <v>25</v>
      </c>
      <c r="M471" t="s">
        <v>25</v>
      </c>
      <c r="N471" t="s">
        <v>26</v>
      </c>
      <c r="O471" t="s">
        <v>41</v>
      </c>
      <c r="P471" t="s">
        <v>26</v>
      </c>
      <c r="Q471">
        <v>32</v>
      </c>
      <c r="R471" t="s">
        <v>39</v>
      </c>
      <c r="S471" s="2">
        <v>66.605685896685003</v>
      </c>
      <c r="T471" s="3">
        <v>3090.3005162401</v>
      </c>
      <c r="U471" s="4">
        <v>44644.306616213697</v>
      </c>
      <c r="V471" t="s">
        <v>26</v>
      </c>
      <c r="W471" t="s">
        <v>30</v>
      </c>
    </row>
    <row r="472" spans="1:23" x14ac:dyDescent="0.35">
      <c r="A472">
        <v>1472</v>
      </c>
      <c r="B472" t="s">
        <v>34</v>
      </c>
      <c r="C472" t="s">
        <v>25</v>
      </c>
      <c r="D472" t="s">
        <v>25</v>
      </c>
      <c r="E472" t="s">
        <v>26</v>
      </c>
      <c r="F472" t="s">
        <v>26</v>
      </c>
      <c r="G472" t="s">
        <v>26</v>
      </c>
      <c r="H472" t="s">
        <v>25</v>
      </c>
      <c r="I472" t="s">
        <v>26</v>
      </c>
      <c r="J472" t="s">
        <v>26</v>
      </c>
      <c r="K472" t="s">
        <v>26</v>
      </c>
      <c r="L472" t="s">
        <v>25</v>
      </c>
      <c r="M472" t="s">
        <v>25</v>
      </c>
      <c r="N472" t="s">
        <v>25</v>
      </c>
      <c r="O472" t="s">
        <v>48</v>
      </c>
      <c r="P472" t="s">
        <v>26</v>
      </c>
      <c r="Q472">
        <v>32</v>
      </c>
      <c r="R472" t="s">
        <v>39</v>
      </c>
      <c r="S472" s="2">
        <v>66.584277621903297</v>
      </c>
      <c r="T472" s="3">
        <v>3087.8281796103201</v>
      </c>
      <c r="U472" s="4">
        <v>44644.106393434602</v>
      </c>
      <c r="V472" t="s">
        <v>26</v>
      </c>
      <c r="W472" t="s">
        <v>30</v>
      </c>
    </row>
    <row r="473" spans="1:23" x14ac:dyDescent="0.35">
      <c r="A473">
        <v>1473</v>
      </c>
      <c r="B473" t="s">
        <v>31</v>
      </c>
      <c r="C473" t="s">
        <v>25</v>
      </c>
      <c r="D473" t="s">
        <v>26</v>
      </c>
      <c r="E473" t="s">
        <v>25</v>
      </c>
      <c r="F473" t="s">
        <v>25</v>
      </c>
      <c r="G473" t="s">
        <v>25</v>
      </c>
      <c r="H473" t="s">
        <v>35</v>
      </c>
      <c r="I473" t="s">
        <v>25</v>
      </c>
      <c r="J473" t="s">
        <v>26</v>
      </c>
      <c r="K473" t="s">
        <v>26</v>
      </c>
      <c r="L473" t="s">
        <v>25</v>
      </c>
      <c r="M473" t="s">
        <v>25</v>
      </c>
      <c r="N473" t="s">
        <v>25</v>
      </c>
      <c r="O473" t="s">
        <v>45</v>
      </c>
      <c r="P473" t="s">
        <v>26</v>
      </c>
      <c r="Q473">
        <v>32</v>
      </c>
      <c r="R473" t="s">
        <v>39</v>
      </c>
      <c r="S473" s="2">
        <v>66.562869347121506</v>
      </c>
      <c r="T473" s="3">
        <v>3085.3558429805498</v>
      </c>
      <c r="U473" s="4">
        <v>44643.906170655398</v>
      </c>
      <c r="V473" t="s">
        <v>26</v>
      </c>
      <c r="W473" t="s">
        <v>30</v>
      </c>
    </row>
    <row r="474" spans="1:23" x14ac:dyDescent="0.35">
      <c r="A474">
        <v>1474</v>
      </c>
      <c r="B474" t="s">
        <v>34</v>
      </c>
      <c r="C474" t="s">
        <v>25</v>
      </c>
      <c r="D474" t="s">
        <v>26</v>
      </c>
      <c r="E474" t="s">
        <v>25</v>
      </c>
      <c r="F474" t="s">
        <v>26</v>
      </c>
      <c r="G474" t="s">
        <v>25</v>
      </c>
      <c r="H474" t="s">
        <v>27</v>
      </c>
      <c r="I474" t="s">
        <v>26</v>
      </c>
      <c r="J474" t="s">
        <v>25</v>
      </c>
      <c r="K474" t="s">
        <v>26</v>
      </c>
      <c r="L474" t="s">
        <v>25</v>
      </c>
      <c r="M474" t="s">
        <v>25</v>
      </c>
      <c r="N474" t="s">
        <v>25</v>
      </c>
      <c r="O474" t="s">
        <v>41</v>
      </c>
      <c r="P474" t="s">
        <v>26</v>
      </c>
      <c r="Q474">
        <v>32</v>
      </c>
      <c r="R474" t="s">
        <v>33</v>
      </c>
      <c r="S474" s="2">
        <v>66.5414610723398</v>
      </c>
      <c r="T474" s="3">
        <v>3082.8835063507699</v>
      </c>
      <c r="U474" s="4">
        <v>44643.705947876202</v>
      </c>
      <c r="V474" t="s">
        <v>26</v>
      </c>
      <c r="W474" t="s">
        <v>30</v>
      </c>
    </row>
    <row r="475" spans="1:23" x14ac:dyDescent="0.35">
      <c r="A475">
        <v>1475</v>
      </c>
      <c r="B475" t="s">
        <v>31</v>
      </c>
      <c r="C475" t="s">
        <v>25</v>
      </c>
      <c r="D475" t="s">
        <v>26</v>
      </c>
      <c r="E475" t="s">
        <v>26</v>
      </c>
      <c r="F475" t="s">
        <v>26</v>
      </c>
      <c r="G475" t="s">
        <v>25</v>
      </c>
      <c r="H475" t="s">
        <v>27</v>
      </c>
      <c r="I475" t="s">
        <v>26</v>
      </c>
      <c r="J475" t="s">
        <v>25</v>
      </c>
      <c r="K475" t="s">
        <v>25</v>
      </c>
      <c r="L475" t="s">
        <v>25</v>
      </c>
      <c r="M475" t="s">
        <v>26</v>
      </c>
      <c r="N475" t="s">
        <v>25</v>
      </c>
      <c r="O475" t="s">
        <v>41</v>
      </c>
      <c r="P475" t="s">
        <v>26</v>
      </c>
      <c r="Q475">
        <v>32</v>
      </c>
      <c r="R475" t="s">
        <v>39</v>
      </c>
      <c r="S475" s="2">
        <v>66.520052797557994</v>
      </c>
      <c r="T475" s="3">
        <v>3080.4111697210001</v>
      </c>
      <c r="U475" s="4">
        <v>44643.5057250971</v>
      </c>
      <c r="V475" t="s">
        <v>26</v>
      </c>
      <c r="W475" t="s">
        <v>30</v>
      </c>
    </row>
    <row r="476" spans="1:23" x14ac:dyDescent="0.35">
      <c r="A476">
        <v>1476</v>
      </c>
      <c r="B476" t="s">
        <v>34</v>
      </c>
      <c r="C476" t="s">
        <v>25</v>
      </c>
      <c r="D476" t="s">
        <v>25</v>
      </c>
      <c r="E476" t="s">
        <v>25</v>
      </c>
      <c r="F476" t="s">
        <v>25</v>
      </c>
      <c r="G476" t="s">
        <v>26</v>
      </c>
      <c r="H476" t="s">
        <v>27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26</v>
      </c>
      <c r="O476" t="s">
        <v>28</v>
      </c>
      <c r="P476" t="s">
        <v>25</v>
      </c>
      <c r="Q476">
        <v>32</v>
      </c>
      <c r="R476" t="s">
        <v>39</v>
      </c>
      <c r="S476" s="2">
        <v>66.498644522776303</v>
      </c>
      <c r="T476" s="3">
        <v>3077.9388330912202</v>
      </c>
      <c r="U476" s="4">
        <v>44643.305502317897</v>
      </c>
      <c r="V476" t="s">
        <v>26</v>
      </c>
      <c r="W476" t="s">
        <v>30</v>
      </c>
    </row>
    <row r="477" spans="1:23" x14ac:dyDescent="0.35">
      <c r="A477">
        <v>1477</v>
      </c>
      <c r="B477" t="s">
        <v>34</v>
      </c>
      <c r="C477" t="s">
        <v>26</v>
      </c>
      <c r="D477" t="s">
        <v>25</v>
      </c>
      <c r="E477" t="s">
        <v>25</v>
      </c>
      <c r="F477" t="s">
        <v>26</v>
      </c>
      <c r="G477" t="s">
        <v>25</v>
      </c>
      <c r="H477" t="s">
        <v>35</v>
      </c>
      <c r="I477" t="s">
        <v>25</v>
      </c>
      <c r="J477" t="s">
        <v>25</v>
      </c>
      <c r="K477" t="s">
        <v>26</v>
      </c>
      <c r="L477" t="s">
        <v>25</v>
      </c>
      <c r="M477" t="s">
        <v>25</v>
      </c>
      <c r="N477" t="s">
        <v>26</v>
      </c>
      <c r="O477" t="s">
        <v>45</v>
      </c>
      <c r="P477" t="s">
        <v>26</v>
      </c>
      <c r="Q477">
        <v>32</v>
      </c>
      <c r="R477" t="s">
        <v>49</v>
      </c>
      <c r="S477" s="2">
        <v>66.477236247994497</v>
      </c>
      <c r="T477" s="3">
        <v>3075.4664964614499</v>
      </c>
      <c r="U477" s="4">
        <v>44643.1052795387</v>
      </c>
      <c r="V477" t="s">
        <v>26</v>
      </c>
      <c r="W477" t="s">
        <v>30</v>
      </c>
    </row>
    <row r="478" spans="1:23" x14ac:dyDescent="0.35">
      <c r="A478">
        <v>1478</v>
      </c>
      <c r="B478" t="s">
        <v>31</v>
      </c>
      <c r="C478" t="s">
        <v>25</v>
      </c>
      <c r="D478" t="s">
        <v>26</v>
      </c>
      <c r="E478" t="s">
        <v>25</v>
      </c>
      <c r="F478" t="s">
        <v>25</v>
      </c>
      <c r="G478" t="s">
        <v>26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26</v>
      </c>
      <c r="N478" t="s">
        <v>25</v>
      </c>
      <c r="O478" t="s">
        <v>41</v>
      </c>
      <c r="P478" t="s">
        <v>25</v>
      </c>
      <c r="Q478">
        <v>32</v>
      </c>
      <c r="R478" t="s">
        <v>39</v>
      </c>
      <c r="S478" s="2">
        <v>66.455827973212806</v>
      </c>
      <c r="T478" s="3">
        <v>3072.99415983167</v>
      </c>
      <c r="U478" s="4">
        <v>44642.905056759497</v>
      </c>
      <c r="V478" t="s">
        <v>26</v>
      </c>
      <c r="W478" t="s">
        <v>30</v>
      </c>
    </row>
    <row r="479" spans="1:23" x14ac:dyDescent="0.35">
      <c r="A479">
        <v>1479</v>
      </c>
      <c r="B479" t="s">
        <v>34</v>
      </c>
      <c r="C479" t="s">
        <v>25</v>
      </c>
      <c r="D479" t="s">
        <v>25</v>
      </c>
      <c r="E479" t="s">
        <v>25</v>
      </c>
      <c r="F479" t="s">
        <v>26</v>
      </c>
      <c r="G479" t="s">
        <v>26</v>
      </c>
      <c r="H479" t="s">
        <v>35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25</v>
      </c>
      <c r="O479" t="s">
        <v>41</v>
      </c>
      <c r="P479" t="s">
        <v>26</v>
      </c>
      <c r="Q479">
        <v>32</v>
      </c>
      <c r="R479" t="s">
        <v>49</v>
      </c>
      <c r="S479" s="2">
        <v>66.434419698431</v>
      </c>
      <c r="T479" s="3">
        <v>3070.5218232019001</v>
      </c>
      <c r="U479" s="4">
        <v>44642.704833980402</v>
      </c>
      <c r="V479" t="s">
        <v>26</v>
      </c>
      <c r="W479" t="s">
        <v>30</v>
      </c>
    </row>
    <row r="480" spans="1:23" x14ac:dyDescent="0.35">
      <c r="A480">
        <v>1480</v>
      </c>
      <c r="B480" t="s">
        <v>31</v>
      </c>
      <c r="C480" t="s">
        <v>25</v>
      </c>
      <c r="D480" t="s">
        <v>25</v>
      </c>
      <c r="E480" t="s">
        <v>25</v>
      </c>
      <c r="F480" t="s">
        <v>26</v>
      </c>
      <c r="G480" t="s">
        <v>25</v>
      </c>
      <c r="H480" t="s">
        <v>35</v>
      </c>
      <c r="I480" t="s">
        <v>25</v>
      </c>
      <c r="J480" t="s">
        <v>25</v>
      </c>
      <c r="K480" t="s">
        <v>25</v>
      </c>
      <c r="L480" t="s">
        <v>26</v>
      </c>
      <c r="M480" t="s">
        <v>26</v>
      </c>
      <c r="N480" t="s">
        <v>25</v>
      </c>
      <c r="O480" t="s">
        <v>45</v>
      </c>
      <c r="P480" t="s">
        <v>26</v>
      </c>
      <c r="Q480">
        <v>32</v>
      </c>
      <c r="R480" t="s">
        <v>29</v>
      </c>
      <c r="S480" s="2">
        <v>66.413011423649294</v>
      </c>
      <c r="T480" s="3">
        <v>3068.0494865721198</v>
      </c>
      <c r="U480" s="4">
        <v>44642.504611201199</v>
      </c>
      <c r="V480" t="s">
        <v>26</v>
      </c>
      <c r="W480" t="s">
        <v>30</v>
      </c>
    </row>
    <row r="481" spans="1:23" x14ac:dyDescent="0.35">
      <c r="A481">
        <v>1481</v>
      </c>
      <c r="B481" t="s">
        <v>31</v>
      </c>
      <c r="C481" t="s">
        <v>25</v>
      </c>
      <c r="D481" t="s">
        <v>26</v>
      </c>
      <c r="E481" t="s">
        <v>26</v>
      </c>
      <c r="F481" t="s">
        <v>26</v>
      </c>
      <c r="G481" t="s">
        <v>26</v>
      </c>
      <c r="H481" t="s">
        <v>27</v>
      </c>
      <c r="I481" t="s">
        <v>26</v>
      </c>
      <c r="J481" t="s">
        <v>26</v>
      </c>
      <c r="K481" t="s">
        <v>26</v>
      </c>
      <c r="L481" t="s">
        <v>25</v>
      </c>
      <c r="M481" t="s">
        <v>26</v>
      </c>
      <c r="N481" t="s">
        <v>25</v>
      </c>
      <c r="O481" t="s">
        <v>41</v>
      </c>
      <c r="P481" t="s">
        <v>26</v>
      </c>
      <c r="Q481">
        <v>32</v>
      </c>
      <c r="R481" t="s">
        <v>49</v>
      </c>
      <c r="S481" s="2">
        <v>66.391603148867503</v>
      </c>
      <c r="T481" s="3">
        <v>3065.5771499423499</v>
      </c>
      <c r="U481" s="4">
        <v>44642.304388422002</v>
      </c>
      <c r="V481" t="s">
        <v>26</v>
      </c>
      <c r="W481" t="s">
        <v>30</v>
      </c>
    </row>
    <row r="482" spans="1:23" x14ac:dyDescent="0.35">
      <c r="A482">
        <v>1482</v>
      </c>
      <c r="B482" t="s">
        <v>34</v>
      </c>
      <c r="C482" t="s">
        <v>25</v>
      </c>
      <c r="D482" t="s">
        <v>26</v>
      </c>
      <c r="E482" t="s">
        <v>25</v>
      </c>
      <c r="F482" t="s">
        <v>26</v>
      </c>
      <c r="G482" t="s">
        <v>25</v>
      </c>
      <c r="H482" t="s">
        <v>35</v>
      </c>
      <c r="I482" t="s">
        <v>26</v>
      </c>
      <c r="J482" t="s">
        <v>26</v>
      </c>
      <c r="K482" t="s">
        <v>25</v>
      </c>
      <c r="L482" t="s">
        <v>25</v>
      </c>
      <c r="M482" t="s">
        <v>26</v>
      </c>
      <c r="N482" t="s">
        <v>25</v>
      </c>
      <c r="O482" t="s">
        <v>41</v>
      </c>
      <c r="P482" t="s">
        <v>26</v>
      </c>
      <c r="Q482">
        <v>32</v>
      </c>
      <c r="R482" t="s">
        <v>39</v>
      </c>
      <c r="S482" s="2">
        <v>66.370194874085698</v>
      </c>
      <c r="T482" s="3">
        <v>3063.1048133125701</v>
      </c>
      <c r="U482" s="4">
        <v>44642.104165642901</v>
      </c>
      <c r="V482" t="s">
        <v>26</v>
      </c>
      <c r="W482" t="s">
        <v>30</v>
      </c>
    </row>
    <row r="483" spans="1:23" x14ac:dyDescent="0.35">
      <c r="A483">
        <v>1483</v>
      </c>
      <c r="B483" t="s">
        <v>31</v>
      </c>
      <c r="C483" t="s">
        <v>25</v>
      </c>
      <c r="D483" t="s">
        <v>26</v>
      </c>
      <c r="E483" t="s">
        <v>25</v>
      </c>
      <c r="F483" t="s">
        <v>26</v>
      </c>
      <c r="G483" t="s">
        <v>26</v>
      </c>
      <c r="H483" t="s">
        <v>35</v>
      </c>
      <c r="I483" t="s">
        <v>26</v>
      </c>
      <c r="J483" t="s">
        <v>25</v>
      </c>
      <c r="K483" t="s">
        <v>25</v>
      </c>
      <c r="L483" t="s">
        <v>25</v>
      </c>
      <c r="M483" t="s">
        <v>26</v>
      </c>
      <c r="N483" t="s">
        <v>26</v>
      </c>
      <c r="O483" t="s">
        <v>42</v>
      </c>
      <c r="P483" t="s">
        <v>25</v>
      </c>
      <c r="Q483">
        <v>32</v>
      </c>
      <c r="R483" t="s">
        <v>39</v>
      </c>
      <c r="S483" s="2">
        <v>66.348786599304006</v>
      </c>
      <c r="T483" s="3">
        <v>3060.6324766828002</v>
      </c>
      <c r="U483" s="4">
        <v>44641.903942863697</v>
      </c>
      <c r="V483" t="s">
        <v>26</v>
      </c>
      <c r="W483" t="s">
        <v>30</v>
      </c>
    </row>
    <row r="484" spans="1:23" x14ac:dyDescent="0.35">
      <c r="A484">
        <v>1484</v>
      </c>
      <c r="B484" t="s">
        <v>34</v>
      </c>
      <c r="C484" t="s">
        <v>25</v>
      </c>
      <c r="D484" t="s">
        <v>26</v>
      </c>
      <c r="E484" t="s">
        <v>25</v>
      </c>
      <c r="F484" t="s">
        <v>26</v>
      </c>
      <c r="G484" t="s">
        <v>25</v>
      </c>
      <c r="H484" t="s">
        <v>35</v>
      </c>
      <c r="I484" t="s">
        <v>25</v>
      </c>
      <c r="J484" t="s">
        <v>25</v>
      </c>
      <c r="K484" t="s">
        <v>25</v>
      </c>
      <c r="L484" t="s">
        <v>25</v>
      </c>
      <c r="M484" t="s">
        <v>26</v>
      </c>
      <c r="N484" t="s">
        <v>26</v>
      </c>
      <c r="O484" t="s">
        <v>48</v>
      </c>
      <c r="P484" t="s">
        <v>25</v>
      </c>
      <c r="Q484">
        <v>32</v>
      </c>
      <c r="R484" t="s">
        <v>39</v>
      </c>
      <c r="S484" s="2">
        <v>66.327378324522201</v>
      </c>
      <c r="T484" s="3">
        <v>3058.1601400530299</v>
      </c>
      <c r="U484" s="4">
        <v>44641.703720084501</v>
      </c>
      <c r="V484" t="s">
        <v>26</v>
      </c>
      <c r="W484" t="s">
        <v>30</v>
      </c>
    </row>
    <row r="485" spans="1:23" x14ac:dyDescent="0.35">
      <c r="A485">
        <v>1485</v>
      </c>
      <c r="B485" t="s">
        <v>31</v>
      </c>
      <c r="C485" t="s">
        <v>25</v>
      </c>
      <c r="D485" t="s">
        <v>25</v>
      </c>
      <c r="E485" t="s">
        <v>25</v>
      </c>
      <c r="F485" t="s">
        <v>26</v>
      </c>
      <c r="G485" t="s">
        <v>25</v>
      </c>
      <c r="H485" t="s">
        <v>35</v>
      </c>
      <c r="I485" t="s">
        <v>25</v>
      </c>
      <c r="J485" t="s">
        <v>25</v>
      </c>
      <c r="K485" t="s">
        <v>25</v>
      </c>
      <c r="L485" t="s">
        <v>26</v>
      </c>
      <c r="M485" t="s">
        <v>26</v>
      </c>
      <c r="N485" t="s">
        <v>25</v>
      </c>
      <c r="O485" t="s">
        <v>28</v>
      </c>
      <c r="P485" t="s">
        <v>26</v>
      </c>
      <c r="Q485">
        <v>32</v>
      </c>
      <c r="R485" t="s">
        <v>33</v>
      </c>
      <c r="S485" s="2">
        <v>66.305970049740495</v>
      </c>
      <c r="T485" s="3">
        <v>3055.68780342325</v>
      </c>
      <c r="U485" s="4">
        <v>44641.503497305399</v>
      </c>
      <c r="V485" t="s">
        <v>26</v>
      </c>
      <c r="W485" t="s">
        <v>30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topLeftCell="A25" workbookViewId="0">
      <selection activeCell="M9" sqref="M9"/>
    </sheetView>
  </sheetViews>
  <sheetFormatPr defaultRowHeight="14.5" x14ac:dyDescent="0.35"/>
  <cols>
    <col min="1" max="1" width="17.81640625" customWidth="1"/>
    <col min="2" max="2" width="18" customWidth="1"/>
    <col min="3" max="3" width="10.7265625" customWidth="1"/>
    <col min="4" max="4" width="10.7265625" bestFit="1" customWidth="1"/>
  </cols>
  <sheetData>
    <row r="1" spans="1:2" x14ac:dyDescent="0.35">
      <c r="A1" s="10"/>
    </row>
    <row r="2" spans="1:2" ht="15.5" x14ac:dyDescent="0.35">
      <c r="A2" s="13" t="s">
        <v>81</v>
      </c>
      <c r="B2" s="13"/>
    </row>
    <row r="3" spans="1:2" x14ac:dyDescent="0.35">
      <c r="A3" s="9" t="s">
        <v>80</v>
      </c>
      <c r="B3" s="9" t="s">
        <v>73</v>
      </c>
    </row>
    <row r="4" spans="1:2" x14ac:dyDescent="0.35">
      <c r="A4" s="9" t="s">
        <v>69</v>
      </c>
      <c r="B4" t="s">
        <v>26</v>
      </c>
    </row>
    <row r="5" spans="1:2" x14ac:dyDescent="0.35">
      <c r="A5" s="10" t="s">
        <v>41</v>
      </c>
      <c r="B5" s="1">
        <v>86</v>
      </c>
    </row>
    <row r="6" spans="1:2" x14ac:dyDescent="0.35">
      <c r="A6" s="10" t="s">
        <v>28</v>
      </c>
      <c r="B6" s="1">
        <v>34</v>
      </c>
    </row>
    <row r="7" spans="1:2" x14ac:dyDescent="0.35">
      <c r="A7" s="10" t="s">
        <v>45</v>
      </c>
      <c r="B7" s="1">
        <v>23</v>
      </c>
    </row>
    <row r="8" spans="1:2" x14ac:dyDescent="0.35">
      <c r="A8" s="10" t="s">
        <v>79</v>
      </c>
      <c r="B8" s="1">
        <v>143</v>
      </c>
    </row>
    <row r="14" spans="1:2" ht="15.5" x14ac:dyDescent="0.35">
      <c r="A14" s="14" t="s">
        <v>82</v>
      </c>
      <c r="B14" s="14"/>
    </row>
    <row r="15" spans="1:2" x14ac:dyDescent="0.35">
      <c r="A15" s="9" t="s">
        <v>80</v>
      </c>
      <c r="B15" s="9" t="s">
        <v>73</v>
      </c>
    </row>
    <row r="16" spans="1:2" x14ac:dyDescent="0.35">
      <c r="A16" s="9" t="s">
        <v>83</v>
      </c>
      <c r="B16" t="s">
        <v>26</v>
      </c>
    </row>
    <row r="17" spans="1:2" x14ac:dyDescent="0.35">
      <c r="A17" s="10" t="s">
        <v>33</v>
      </c>
      <c r="B17" s="1">
        <v>22</v>
      </c>
    </row>
    <row r="18" spans="1:2" x14ac:dyDescent="0.35">
      <c r="A18" s="10" t="s">
        <v>49</v>
      </c>
      <c r="B18" s="1">
        <v>26</v>
      </c>
    </row>
    <row r="19" spans="1:2" x14ac:dyDescent="0.35">
      <c r="A19" s="10" t="s">
        <v>29</v>
      </c>
      <c r="B19" s="1">
        <v>29</v>
      </c>
    </row>
    <row r="20" spans="1:2" x14ac:dyDescent="0.35">
      <c r="A20" s="10" t="s">
        <v>39</v>
      </c>
      <c r="B20" s="1">
        <v>66</v>
      </c>
    </row>
    <row r="21" spans="1:2" x14ac:dyDescent="0.35">
      <c r="A21" s="10" t="s">
        <v>79</v>
      </c>
      <c r="B21" s="1">
        <v>143</v>
      </c>
    </row>
    <row r="29" spans="1:2" ht="15.5" x14ac:dyDescent="0.35">
      <c r="A29" s="14" t="s">
        <v>86</v>
      </c>
      <c r="B29" s="14"/>
    </row>
    <row r="30" spans="1:2" x14ac:dyDescent="0.35">
      <c r="A30" s="9" t="s">
        <v>80</v>
      </c>
      <c r="B30" s="9" t="s">
        <v>73</v>
      </c>
    </row>
    <row r="31" spans="1:2" x14ac:dyDescent="0.35">
      <c r="A31" s="9" t="s">
        <v>84</v>
      </c>
      <c r="B31" t="s">
        <v>26</v>
      </c>
    </row>
    <row r="32" spans="1:2" x14ac:dyDescent="0.35">
      <c r="A32" s="10" t="s">
        <v>25</v>
      </c>
      <c r="B32" s="1">
        <v>123</v>
      </c>
    </row>
    <row r="33" spans="1:2" x14ac:dyDescent="0.35">
      <c r="A33" s="10" t="s">
        <v>26</v>
      </c>
      <c r="B33" s="1">
        <v>20</v>
      </c>
    </row>
    <row r="34" spans="1:2" x14ac:dyDescent="0.35">
      <c r="A34" s="10" t="s">
        <v>79</v>
      </c>
      <c r="B34" s="1">
        <v>143</v>
      </c>
    </row>
    <row r="42" spans="1:2" ht="15.5" x14ac:dyDescent="0.35">
      <c r="A42" s="15" t="s">
        <v>87</v>
      </c>
      <c r="B42" s="15"/>
    </row>
    <row r="43" spans="1:2" x14ac:dyDescent="0.35">
      <c r="A43" s="9" t="s">
        <v>69</v>
      </c>
      <c r="B43" s="11" t="s">
        <v>85</v>
      </c>
    </row>
    <row r="44" spans="1:2" x14ac:dyDescent="0.35">
      <c r="A44" s="10" t="s">
        <v>41</v>
      </c>
      <c r="B44" s="11">
        <v>949082.72593991575</v>
      </c>
    </row>
    <row r="45" spans="1:2" x14ac:dyDescent="0.35">
      <c r="A45" s="10" t="s">
        <v>28</v>
      </c>
      <c r="B45" s="11">
        <v>430264.53772764205</v>
      </c>
    </row>
    <row r="46" spans="1:2" x14ac:dyDescent="0.35">
      <c r="A46" s="10" t="s">
        <v>45</v>
      </c>
      <c r="B46" s="11">
        <v>356930.708475083</v>
      </c>
    </row>
    <row r="47" spans="1:2" x14ac:dyDescent="0.35">
      <c r="A47" s="10" t="s">
        <v>79</v>
      </c>
      <c r="B47" s="12">
        <v>1736277.972142641</v>
      </c>
    </row>
  </sheetData>
  <mergeCells count="4">
    <mergeCell ref="A2:B2"/>
    <mergeCell ref="A14:B14"/>
    <mergeCell ref="A29:B29"/>
    <mergeCell ref="A42:B42"/>
  </mergeCells>
  <pageMargins left="0.7" right="0.7" top="0.75" bottom="0.75" header="0.3" footer="0.3"/>
  <pageSetup paperSize="0" orientation="portrait" horizontalDpi="0" verticalDpi="0" copie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2026-02-11T21:32:53Z</dcterms:created>
  <dcterms:modified xsi:type="dcterms:W3CDTF">2026-06-16T15:41:42Z</dcterms:modified>
</cp:coreProperties>
</file>